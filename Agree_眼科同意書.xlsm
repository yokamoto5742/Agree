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5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6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7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8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checkCompatibility="1" defaultThemeVersion="124226"/>
  <mc:AlternateContent xmlns:mc="http://schemas.openxmlformats.org/markup-compatibility/2006">
    <mc:Choice Requires="x15">
      <x15ac:absPath xmlns:x15ac="http://schemas.microsoft.com/office/spreadsheetml/2010/11/ac" url="C:\Users\yokam\source\repos\Agree\bin\x86\Release\"/>
    </mc:Choice>
  </mc:AlternateContent>
  <xr:revisionPtr revIDLastSave="0" documentId="13_ncr:1_{1319B544-BAA1-4EED-B2E9-D1CA5E6A0C5B}" xr6:coauthVersionLast="47" xr6:coauthVersionMax="47" xr10:uidLastSave="{00000000-0000-0000-0000-000000000000}"/>
  <bookViews>
    <workbookView xWindow="4620" yWindow="0" windowWidth="17196" windowHeight="12240" tabRatio="832" xr2:uid="{DE6700CB-4B82-4A18-8F84-73045B9BF3EB}"/>
  </bookViews>
  <sheets>
    <sheet name="通常" sheetId="56" r:id="rId1"/>
    <sheet name="入院" sheetId="48" r:id="rId2"/>
    <sheet name="日帰り" sheetId="42" r:id="rId3"/>
    <sheet name="短期滞在" sheetId="43" r:id="rId4"/>
    <sheet name="検査同意書" sheetId="54" r:id="rId5"/>
    <sheet name="注射" sheetId="55" r:id="rId6"/>
    <sheet name="指導料" sheetId="53" r:id="rId7"/>
    <sheet name="強膜パッチ" sheetId="52" r:id="rId8"/>
    <sheet name="共通情報" sheetId="41" r:id="rId9"/>
  </sheets>
  <functionGroups builtInGroupCount="19"/>
  <definedNames>
    <definedName name="_xlnm.Print_Area" localSheetId="7">強膜パッチ!$A$2:$J$77</definedName>
    <definedName name="_xlnm.Print_Area" localSheetId="4">検査同意書!$A$1:$K$51</definedName>
    <definedName name="_xlnm.Print_Area" localSheetId="6">指導料!$A$1:$K$52</definedName>
    <definedName name="_xlnm.Print_Area" localSheetId="3">短期滞在!$A$1:$K$61</definedName>
    <definedName name="_xlnm.Print_Area" localSheetId="5">注射!$A$1:$K$55</definedName>
    <definedName name="_xlnm.Print_Area" localSheetId="0">通常!$A$1:$K$54</definedName>
    <definedName name="_xlnm.Print_Area" localSheetId="2">日帰り!$A$1:$K$55</definedName>
    <definedName name="_xlnm.Print_Area" localSheetId="1">入院!$A$1:$K$54</definedName>
    <definedName name="患者" localSheetId="7">#REF!</definedName>
    <definedName name="患者" localSheetId="4">#REF!</definedName>
    <definedName name="患者" localSheetId="6">#REF!</definedName>
    <definedName name="患者" localSheetId="5">#REF!</definedName>
    <definedName name="患者" localSheetId="0">#REF!</definedName>
    <definedName name="患者" localSheetId="1">#REF!</definedName>
    <definedName name="患者">#REF!</definedName>
    <definedName name="診療科" localSheetId="7">#REF!</definedName>
    <definedName name="診療科" localSheetId="4">#REF!</definedName>
    <definedName name="診療科" localSheetId="6">#REF!</definedName>
    <definedName name="診療科" localSheetId="5">#REF!</definedName>
    <definedName name="診療科" localSheetId="0">#REF!</definedName>
    <definedName name="診療科" localSheetId="1">#REF!</definedName>
    <definedName name="診療科">#REF!</definedName>
    <definedName name="入力者" localSheetId="7">#REF!</definedName>
    <definedName name="入力者" localSheetId="4">#REF!</definedName>
    <definedName name="入力者" localSheetId="6">#REF!</definedName>
    <definedName name="入力者" localSheetId="5">#REF!</definedName>
    <definedName name="入力者" localSheetId="0">#REF!</definedName>
    <definedName name="入力者" localSheetId="1">#REF!</definedName>
    <definedName name="入力者">#REF!</definedName>
    <definedName name="文書" localSheetId="7">#REF!</definedName>
    <definedName name="文書" localSheetId="4">#REF!</definedName>
    <definedName name="文書" localSheetId="6">#REF!</definedName>
    <definedName name="文書" localSheetId="5">#REF!</definedName>
    <definedName name="文書" localSheetId="0">#REF!</definedName>
    <definedName name="文書" localSheetId="1">#REF!</definedName>
    <definedName name="文書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7" i="56" l="1"/>
  <c r="I45" i="56"/>
  <c r="A35" i="56"/>
  <c r="A33" i="56"/>
  <c r="D31" i="56"/>
  <c r="I30" i="56"/>
  <c r="C20" i="56"/>
  <c r="I18" i="56"/>
  <c r="C18" i="56"/>
  <c r="C45" i="56" s="1"/>
  <c r="B10" i="56"/>
  <c r="B37" i="56" s="1"/>
  <c r="A8" i="56"/>
  <c r="D6" i="56"/>
  <c r="D33" i="56" s="1"/>
  <c r="A6" i="56"/>
  <c r="F4" i="56"/>
  <c r="F31" i="56" s="1"/>
  <c r="D4" i="56"/>
  <c r="I3" i="56"/>
  <c r="A6" i="48"/>
  <c r="A35" i="55"/>
  <c r="A33" i="55"/>
  <c r="C20" i="55"/>
  <c r="C47" i="55"/>
  <c r="B10" i="55"/>
  <c r="B37" i="55" s="1"/>
  <c r="D6" i="55"/>
  <c r="D33" i="55" s="1"/>
  <c r="F4" i="55"/>
  <c r="F31" i="55" s="1"/>
  <c r="D4" i="55"/>
  <c r="D31" i="55" s="1"/>
  <c r="I3" i="55"/>
  <c r="I30" i="55" s="1"/>
  <c r="C18" i="54"/>
  <c r="C43" i="54" s="1"/>
  <c r="B8" i="54"/>
  <c r="B33" i="54" s="1"/>
  <c r="D4" i="54"/>
  <c r="D29" i="54" s="1"/>
  <c r="I3" i="54"/>
  <c r="I28" i="54" s="1"/>
  <c r="C47" i="42"/>
  <c r="C20" i="42"/>
  <c r="I18" i="42"/>
  <c r="I45" i="42" s="1"/>
  <c r="I41" i="53"/>
  <c r="I15" i="53"/>
  <c r="C15" i="53"/>
  <c r="C41" i="53" s="1"/>
  <c r="B5" i="53"/>
  <c r="B31" i="53" s="1"/>
  <c r="I3" i="53"/>
  <c r="I29" i="53" s="1"/>
  <c r="B17" i="43"/>
  <c r="B47" i="43" s="1"/>
  <c r="B10" i="42"/>
  <c r="B37" i="42" s="1"/>
  <c r="B10" i="48"/>
  <c r="B37" i="48" s="1"/>
  <c r="I18" i="48"/>
  <c r="I45" i="48" s="1"/>
  <c r="H27" i="41"/>
  <c r="B16" i="43"/>
  <c r="B46" i="43" s="1"/>
  <c r="D45" i="52"/>
  <c r="E76" i="52"/>
  <c r="E38" i="52"/>
  <c r="E6" i="52"/>
  <c r="J45" i="52"/>
  <c r="I3" i="42"/>
  <c r="I30" i="42"/>
  <c r="I3" i="48"/>
  <c r="I30" i="48"/>
  <c r="D6" i="48"/>
  <c r="D33" i="48"/>
  <c r="D6" i="42"/>
  <c r="D33" i="42"/>
  <c r="A35" i="48"/>
  <c r="A33" i="48"/>
  <c r="C20" i="48"/>
  <c r="C47" i="48" s="1"/>
  <c r="A8" i="48"/>
  <c r="F4" i="48"/>
  <c r="F31" i="48" s="1"/>
  <c r="D4" i="48"/>
  <c r="D31" i="48"/>
  <c r="C8" i="41"/>
  <c r="C18" i="42" s="1"/>
  <c r="C45" i="42" s="1"/>
  <c r="D4" i="42"/>
  <c r="D31" i="42" s="1"/>
  <c r="F4" i="42"/>
  <c r="F31" i="42"/>
  <c r="A35" i="42"/>
  <c r="A33" i="42"/>
  <c r="J5" i="43"/>
  <c r="J35" i="43" s="1"/>
  <c r="G7" i="43"/>
  <c r="G37" i="43"/>
  <c r="G5" i="43"/>
  <c r="G35" i="43" s="1"/>
  <c r="G9" i="43"/>
  <c r="G39" i="43" s="1"/>
  <c r="B13" i="43"/>
  <c r="B43" i="43" s="1"/>
  <c r="D13" i="43"/>
  <c r="D43" i="43"/>
  <c r="B14" i="43"/>
  <c r="B44" i="43" s="1"/>
  <c r="B15" i="43"/>
  <c r="B45" i="43"/>
  <c r="E37" i="43"/>
  <c r="E39" i="43"/>
  <c r="D36" i="52" l="1"/>
  <c r="D12" i="52"/>
  <c r="C18" i="48"/>
  <c r="C45" i="48" s="1"/>
  <c r="C13" i="53"/>
  <c r="C39" i="53" s="1"/>
  <c r="C18" i="55"/>
  <c r="C45" i="55" s="1"/>
  <c r="C16" i="54"/>
  <c r="C41" i="54" s="1"/>
</calcChain>
</file>

<file path=xl/sharedStrings.xml><?xml version="1.0" encoding="utf-8"?>
<sst xmlns="http://schemas.openxmlformats.org/spreadsheetml/2006/main" count="428" uniqueCount="187">
  <si>
    <t>共通情報</t>
    <rPh sb="0" eb="2">
      <t>キョウツウ</t>
    </rPh>
    <rPh sb="2" eb="4">
      <t>ジョウホウ</t>
    </rPh>
    <phoneticPr fontId="3"/>
  </si>
  <si>
    <t>患者</t>
    <rPh sb="0" eb="2">
      <t>カンジャ</t>
    </rPh>
    <phoneticPr fontId="3"/>
  </si>
  <si>
    <t>文書</t>
    <rPh sb="0" eb="2">
      <t>ブンショ</t>
    </rPh>
    <phoneticPr fontId="3"/>
  </si>
  <si>
    <t>同意書</t>
    <rPh sb="0" eb="3">
      <t>ドウイショ</t>
    </rPh>
    <phoneticPr fontId="3"/>
  </si>
  <si>
    <t>文書限定</t>
    <rPh sb="0" eb="2">
      <t>ブンショ</t>
    </rPh>
    <rPh sb="2" eb="4">
      <t>ゲンテイ</t>
    </rPh>
    <phoneticPr fontId="3"/>
  </si>
  <si>
    <t>診療科</t>
    <rPh sb="0" eb="2">
      <t>シンリョウ</t>
    </rPh>
    <rPh sb="2" eb="3">
      <t>カ</t>
    </rPh>
    <phoneticPr fontId="3"/>
  </si>
  <si>
    <t>科限定</t>
    <rPh sb="0" eb="1">
      <t>カ</t>
    </rPh>
    <rPh sb="1" eb="3">
      <t>ゲンテイ</t>
    </rPh>
    <phoneticPr fontId="3"/>
  </si>
  <si>
    <t>眼科</t>
    <rPh sb="0" eb="2">
      <t>ガンカ</t>
    </rPh>
    <phoneticPr fontId="3"/>
  </si>
  <si>
    <t>医師</t>
    <rPh sb="0" eb="2">
      <t>イシ</t>
    </rPh>
    <phoneticPr fontId="3"/>
  </si>
  <si>
    <t/>
  </si>
  <si>
    <t>表示フラグ</t>
    <rPh sb="0" eb="2">
      <t>ヒョウジ</t>
    </rPh>
    <phoneticPr fontId="3"/>
  </si>
  <si>
    <t>医師限定</t>
    <rPh sb="0" eb="2">
      <t>イシ</t>
    </rPh>
    <rPh sb="2" eb="4">
      <t>ゲンテイ</t>
    </rPh>
    <phoneticPr fontId="3"/>
  </si>
  <si>
    <t>入力者</t>
    <rPh sb="0" eb="2">
      <t>ニュウリョク</t>
    </rPh>
    <rPh sb="2" eb="3">
      <t>シャ</t>
    </rPh>
    <phoneticPr fontId="3"/>
  </si>
  <si>
    <t>職種限定</t>
    <rPh sb="0" eb="2">
      <t>ショクシュ</t>
    </rPh>
    <rPh sb="2" eb="4">
      <t>ゲンテイ</t>
    </rPh>
    <phoneticPr fontId="3"/>
  </si>
  <si>
    <t>入力者リスト</t>
    <rPh sb="0" eb="2">
      <t>ニュウリョク</t>
    </rPh>
    <rPh sb="2" eb="3">
      <t>シャ</t>
    </rPh>
    <phoneticPr fontId="3"/>
  </si>
  <si>
    <r>
      <t>1</t>
    </r>
    <r>
      <rPr>
        <sz val="11"/>
        <rFont val="ＭＳ Ｐゴシック"/>
        <family val="3"/>
        <charset val="128"/>
      </rPr>
      <t>15 舘奈保子, 107 橋本義弘, 54 芳村賀洋子</t>
    </r>
    <rPh sb="4" eb="5">
      <t>タチ</t>
    </rPh>
    <rPh sb="5" eb="8">
      <t>ナホコ</t>
    </rPh>
    <rPh sb="14" eb="16">
      <t>ハシモト</t>
    </rPh>
    <rPh sb="16" eb="18">
      <t>ヨシヒロ</t>
    </rPh>
    <rPh sb="23" eb="25">
      <t>ヨシムラ</t>
    </rPh>
    <rPh sb="25" eb="27">
      <t>シゲヒロ</t>
    </rPh>
    <rPh sb="27" eb="28">
      <t>コ</t>
    </rPh>
    <phoneticPr fontId="3"/>
  </si>
  <si>
    <t>作成日</t>
    <rPh sb="0" eb="3">
      <t>サクセイビ</t>
    </rPh>
    <phoneticPr fontId="3"/>
  </si>
  <si>
    <t>日時限定</t>
    <rPh sb="0" eb="2">
      <t>ニチジ</t>
    </rPh>
    <rPh sb="2" eb="4">
      <t>ゲンテイ</t>
    </rPh>
    <phoneticPr fontId="3"/>
  </si>
  <si>
    <t>作成時刻</t>
    <rPh sb="0" eb="2">
      <t>サクセイ</t>
    </rPh>
    <rPh sb="2" eb="4">
      <t>ジコク</t>
    </rPh>
    <phoneticPr fontId="3"/>
  </si>
  <si>
    <t>文字数</t>
    <rPh sb="0" eb="3">
      <t>モジスウ</t>
    </rPh>
    <phoneticPr fontId="3"/>
  </si>
  <si>
    <t>ファイル名</t>
    <rPh sb="4" eb="5">
      <t>メイ</t>
    </rPh>
    <phoneticPr fontId="3"/>
  </si>
  <si>
    <t>表示</t>
    <rPh sb="0" eb="2">
      <t>ヒョウジ</t>
    </rPh>
    <phoneticPr fontId="3"/>
  </si>
  <si>
    <t>自動読込</t>
    <rPh sb="0" eb="2">
      <t>ジドウ</t>
    </rPh>
    <rPh sb="2" eb="4">
      <t>ヨミコミ</t>
    </rPh>
    <phoneticPr fontId="3"/>
  </si>
  <si>
    <t>印刷済</t>
    <rPh sb="0" eb="2">
      <t>インサツ</t>
    </rPh>
    <rPh sb="2" eb="3">
      <t>ス</t>
    </rPh>
    <phoneticPr fontId="3"/>
  </si>
  <si>
    <r>
      <t>PDF</t>
    </r>
    <r>
      <rPr>
        <sz val="11"/>
        <rFont val="ＭＳ Ｐゴシック"/>
        <family val="3"/>
        <charset val="128"/>
      </rPr>
      <t>writer1</t>
    </r>
    <phoneticPr fontId="3"/>
  </si>
  <si>
    <t>瞬簡PDF</t>
    <rPh sb="0" eb="1">
      <t>シュン</t>
    </rPh>
    <rPh sb="1" eb="2">
      <t>カン</t>
    </rPh>
    <phoneticPr fontId="3"/>
  </si>
  <si>
    <r>
      <t>P</t>
    </r>
    <r>
      <rPr>
        <sz val="11"/>
        <rFont val="ＭＳ Ｐゴシック"/>
        <family val="3"/>
        <charset val="128"/>
      </rPr>
      <t>DF保存済</t>
    </r>
    <rPh sb="3" eb="5">
      <t>ホゾン</t>
    </rPh>
    <rPh sb="5" eb="6">
      <t>ズ</t>
    </rPh>
    <phoneticPr fontId="3"/>
  </si>
  <si>
    <t>バーコード印刷</t>
    <rPh sb="5" eb="7">
      <t>インサツ</t>
    </rPh>
    <phoneticPr fontId="3"/>
  </si>
  <si>
    <t>1</t>
    <phoneticPr fontId="3"/>
  </si>
  <si>
    <t>大きさ位置</t>
    <rPh sb="0" eb="1">
      <t>オオ</t>
    </rPh>
    <rPh sb="3" eb="5">
      <t>イチ</t>
    </rPh>
    <phoneticPr fontId="3"/>
  </si>
  <si>
    <t>固有情報</t>
    <rPh sb="0" eb="2">
      <t>コユウ</t>
    </rPh>
    <rPh sb="2" eb="4">
      <t>ジョウホウ</t>
    </rPh>
    <phoneticPr fontId="3"/>
  </si>
  <si>
    <t>手術眼</t>
    <rPh sb="0" eb="2">
      <t>シュジュツ</t>
    </rPh>
    <rPh sb="2" eb="3">
      <t>ガン</t>
    </rPh>
    <phoneticPr fontId="3"/>
  </si>
  <si>
    <t>リスト</t>
    <phoneticPr fontId="3"/>
  </si>
  <si>
    <r>
      <t>右,</t>
    </r>
    <r>
      <rPr>
        <sz val="11"/>
        <rFont val="ＭＳ Ｐゴシック"/>
        <family val="3"/>
        <charset val="128"/>
      </rPr>
      <t xml:space="preserve"> 左, 両</t>
    </r>
    <rPh sb="0" eb="1">
      <t>ミギ</t>
    </rPh>
    <rPh sb="3" eb="4">
      <t>ヒダリ</t>
    </rPh>
    <rPh sb="6" eb="7">
      <t>リョウ</t>
    </rPh>
    <phoneticPr fontId="3"/>
  </si>
  <si>
    <t>文書2</t>
    <rPh sb="0" eb="2">
      <t>ブンショ</t>
    </rPh>
    <phoneticPr fontId="3"/>
  </si>
  <si>
    <t>検査報告書</t>
    <rPh sb="0" eb="2">
      <t>ケンサ</t>
    </rPh>
    <rPh sb="2" eb="5">
      <t>ホウコクショ</t>
    </rPh>
    <phoneticPr fontId="3"/>
  </si>
  <si>
    <t>ファイル名2</t>
    <rPh sb="4" eb="5">
      <t>ナ</t>
    </rPh>
    <phoneticPr fontId="3"/>
  </si>
  <si>
    <t>眼科同意書</t>
    <rPh sb="0" eb="2">
      <t>ガンカ</t>
    </rPh>
    <rPh sb="2" eb="5">
      <t>ドウイショ</t>
    </rPh>
    <phoneticPr fontId="3"/>
  </si>
  <si>
    <t>眼</t>
    <rPh sb="0" eb="1">
      <t>メ</t>
    </rPh>
    <phoneticPr fontId="3"/>
  </si>
  <si>
    <t>担当者</t>
    <rPh sb="0" eb="3">
      <t>タントウシャ</t>
    </rPh>
    <phoneticPr fontId="3"/>
  </si>
  <si>
    <t>病名</t>
    <rPh sb="0" eb="2">
      <t>ビョウメイ</t>
    </rPh>
    <phoneticPr fontId="3"/>
  </si>
  <si>
    <t>手術名</t>
    <rPh sb="0" eb="2">
      <t>シュジュツ</t>
    </rPh>
    <rPh sb="2" eb="3">
      <t>メイ</t>
    </rPh>
    <phoneticPr fontId="3"/>
  </si>
  <si>
    <t>説明</t>
    <rPh sb="0" eb="2">
      <t>セツメイ</t>
    </rPh>
    <phoneticPr fontId="3"/>
  </si>
  <si>
    <t>症状</t>
    <rPh sb="0" eb="2">
      <t>ショウジョウ</t>
    </rPh>
    <phoneticPr fontId="3"/>
  </si>
  <si>
    <t>治療計画</t>
    <rPh sb="0" eb="2">
      <t>チリョウ</t>
    </rPh>
    <rPh sb="2" eb="4">
      <t>ケイカク</t>
    </rPh>
    <phoneticPr fontId="3"/>
  </si>
  <si>
    <t>検査内容</t>
    <rPh sb="0" eb="2">
      <t>ケンサ</t>
    </rPh>
    <rPh sb="2" eb="4">
      <t>ナイヨウ</t>
    </rPh>
    <phoneticPr fontId="3"/>
  </si>
  <si>
    <t>手術内容</t>
    <rPh sb="0" eb="2">
      <t>シュジュツ</t>
    </rPh>
    <rPh sb="2" eb="4">
      <t>ナイヨウ</t>
    </rPh>
    <phoneticPr fontId="3"/>
  </si>
  <si>
    <t>（ご本人控え）</t>
    <rPh sb="2" eb="4">
      <t>ホンニン</t>
    </rPh>
    <rPh sb="4" eb="5">
      <t>ヒカ</t>
    </rPh>
    <phoneticPr fontId="3"/>
  </si>
  <si>
    <t>主治医</t>
    <rPh sb="0" eb="3">
      <t>シュジイ</t>
    </rPh>
    <phoneticPr fontId="3"/>
  </si>
  <si>
    <t>担当医</t>
    <rPh sb="0" eb="3">
      <t>タントウイ</t>
    </rPh>
    <phoneticPr fontId="3"/>
  </si>
  <si>
    <t>短期滞在手術同意書</t>
    <rPh sb="0" eb="2">
      <t>タンキ</t>
    </rPh>
    <rPh sb="2" eb="4">
      <t>タイザイ</t>
    </rPh>
    <rPh sb="4" eb="6">
      <t>シュジュツ</t>
    </rPh>
    <rPh sb="6" eb="9">
      <t>ドウイショ</t>
    </rPh>
    <phoneticPr fontId="3"/>
  </si>
  <si>
    <t>（病院提出用）</t>
    <rPh sb="1" eb="3">
      <t>ビョウイン</t>
    </rPh>
    <rPh sb="3" eb="5">
      <t>テイシュツ</t>
    </rPh>
    <rPh sb="5" eb="6">
      <t>ヨウ</t>
    </rPh>
    <phoneticPr fontId="3"/>
  </si>
  <si>
    <t>患者氏名</t>
    <rPh sb="0" eb="2">
      <t>カンジャ</t>
    </rPh>
    <rPh sb="2" eb="4">
      <t>シメイ</t>
    </rPh>
    <phoneticPr fontId="3"/>
  </si>
  <si>
    <t>手術後に起こりうる症状とその際の対処</t>
    <rPh sb="0" eb="3">
      <t>シュジュツゴ</t>
    </rPh>
    <rPh sb="4" eb="5">
      <t>オ</t>
    </rPh>
    <rPh sb="9" eb="11">
      <t>ショウジョウ</t>
    </rPh>
    <rPh sb="14" eb="15">
      <t>サイ</t>
    </rPh>
    <rPh sb="16" eb="18">
      <t>タイショ</t>
    </rPh>
    <phoneticPr fontId="3"/>
  </si>
  <si>
    <t>36</t>
    <phoneticPr fontId="3"/>
  </si>
  <si>
    <t>CSVファイル</t>
    <phoneticPr fontId="3"/>
  </si>
  <si>
    <t>C:\Macs\Pat.csv</t>
    <phoneticPr fontId="3"/>
  </si>
  <si>
    <r>
      <t>p</t>
    </r>
    <r>
      <rPr>
        <sz val="11"/>
        <rFont val="ＭＳ Ｐゴシック"/>
        <family val="3"/>
        <charset val="128"/>
      </rPr>
      <t>rinter1</t>
    </r>
    <phoneticPr fontId="3"/>
  </si>
  <si>
    <r>
      <t>P</t>
    </r>
    <r>
      <rPr>
        <sz val="11"/>
        <rFont val="ＭＳ Ｐゴシック"/>
        <family val="3"/>
        <charset val="128"/>
      </rPr>
      <t>DFsrc1</t>
    </r>
    <phoneticPr fontId="3"/>
  </si>
  <si>
    <r>
      <t>C:\PdfKarte\</t>
    </r>
    <r>
      <rPr>
        <sz val="11"/>
        <rFont val="ＭＳ Ｐゴシック"/>
        <family val="3"/>
        <charset val="128"/>
      </rPr>
      <t>Pre_</t>
    </r>
    <r>
      <rPr>
        <sz val="11"/>
        <rFont val="ＭＳ Ｐゴシック"/>
        <family val="3"/>
        <charset val="128"/>
      </rPr>
      <t>TmpPdf\</t>
    </r>
    <phoneticPr fontId="3"/>
  </si>
  <si>
    <r>
      <t>PDF</t>
    </r>
    <r>
      <rPr>
        <sz val="11"/>
        <rFont val="ＭＳ Ｐゴシック"/>
        <family val="3"/>
        <charset val="128"/>
      </rPr>
      <t>dst1</t>
    </r>
    <phoneticPr fontId="3"/>
  </si>
  <si>
    <t>\\lily\TmpPdf\</t>
    <phoneticPr fontId="3"/>
  </si>
  <si>
    <r>
      <t>3</t>
    </r>
    <r>
      <rPr>
        <sz val="11"/>
        <rFont val="ＭＳ Ｐゴシック"/>
        <family val="3"/>
        <charset val="128"/>
      </rPr>
      <t>7071</t>
    </r>
    <phoneticPr fontId="3"/>
  </si>
  <si>
    <t>バーコード2</t>
    <phoneticPr fontId="3"/>
  </si>
  <si>
    <t>）</t>
    <phoneticPr fontId="3"/>
  </si>
  <si>
    <r>
      <t>3</t>
    </r>
    <r>
      <rPr>
        <sz val="11"/>
        <rFont val="ＭＳ Ｐゴシック"/>
        <family val="3"/>
        <charset val="128"/>
      </rPr>
      <t>9911</t>
    </r>
    <phoneticPr fontId="3"/>
  </si>
  <si>
    <t>病名</t>
    <rPh sb="0" eb="1">
      <t>ビョウ</t>
    </rPh>
    <rPh sb="1" eb="2">
      <t>メイ</t>
    </rPh>
    <phoneticPr fontId="3"/>
  </si>
  <si>
    <t>）</t>
    <phoneticPr fontId="3"/>
  </si>
  <si>
    <t>（ＩＤ：</t>
    <phoneticPr fontId="3"/>
  </si>
  <si>
    <t>手術内容　　　　及び日程</t>
    <rPh sb="0" eb="2">
      <t>シュジュツ</t>
    </rPh>
    <rPh sb="2" eb="4">
      <t>ナイヨウ</t>
    </rPh>
    <rPh sb="8" eb="9">
      <t>オヨ</t>
    </rPh>
    <rPh sb="10" eb="12">
      <t>ニッテイ</t>
    </rPh>
    <phoneticPr fontId="3"/>
  </si>
  <si>
    <t>１．手術の名称 ：</t>
    <rPh sb="2" eb="4">
      <t>シュジュツ</t>
    </rPh>
    <phoneticPr fontId="3"/>
  </si>
  <si>
    <t>以上、手術に関する説明を致しました。</t>
    <rPh sb="3" eb="5">
      <t>シュジュツ</t>
    </rPh>
    <phoneticPr fontId="3"/>
  </si>
  <si>
    <t>説明日</t>
    <rPh sb="0" eb="2">
      <t>セツメイ</t>
    </rPh>
    <rPh sb="2" eb="3">
      <t>ビ</t>
    </rPh>
    <phoneticPr fontId="3"/>
  </si>
  <si>
    <t>説明医師</t>
    <rPh sb="0" eb="2">
      <t>セツメイ</t>
    </rPh>
    <rPh sb="2" eb="4">
      <t>イシ</t>
    </rPh>
    <phoneticPr fontId="3"/>
  </si>
  <si>
    <t>同席職員</t>
    <rPh sb="0" eb="2">
      <t>ドウセキ</t>
    </rPh>
    <rPh sb="2" eb="4">
      <t>ショクイン</t>
    </rPh>
    <phoneticPr fontId="3"/>
  </si>
  <si>
    <t>氏名</t>
  </si>
  <si>
    <t>同席者</t>
    <rPh sb="0" eb="3">
      <t>ドウセキシャ</t>
    </rPh>
    <phoneticPr fontId="3"/>
  </si>
  <si>
    <t>真生会富山病院院長宛</t>
    <phoneticPr fontId="3"/>
  </si>
  <si>
    <t>（続柄：</t>
    <phoneticPr fontId="3"/>
  </si>
  <si>
    <t>)</t>
    <phoneticPr fontId="3"/>
  </si>
  <si>
    <t xml:space="preserve">) </t>
    <phoneticPr fontId="3"/>
  </si>
  <si>
    <t>年      　　月      　　日</t>
    <rPh sb="0" eb="1">
      <t>ネン</t>
    </rPh>
    <rPh sb="9" eb="10">
      <t>ガツ</t>
    </rPh>
    <rPh sb="18" eb="19">
      <t>ニチ</t>
    </rPh>
    <phoneticPr fontId="3"/>
  </si>
  <si>
    <t>印</t>
    <rPh sb="0" eb="1">
      <t>イン</t>
    </rPh>
    <phoneticPr fontId="3"/>
  </si>
  <si>
    <t>２．麻酔の形式 ：</t>
    <phoneticPr fontId="3"/>
  </si>
  <si>
    <t>３．手術の説明</t>
    <phoneticPr fontId="3"/>
  </si>
  <si>
    <t>006000000</t>
    <phoneticPr fontId="3"/>
  </si>
  <si>
    <t>ｻﾞｸ ｻﾞｸ</t>
    <phoneticPr fontId="3"/>
  </si>
  <si>
    <t>ざく　ざく情報室以外使用禁止</t>
    <phoneticPr fontId="3"/>
  </si>
  <si>
    <t>男</t>
    <phoneticPr fontId="3"/>
  </si>
  <si>
    <t>001</t>
    <phoneticPr fontId="3"/>
  </si>
  <si>
    <t>内科</t>
  </si>
  <si>
    <t>01263</t>
    <phoneticPr fontId="3"/>
  </si>
  <si>
    <t>帯原　真嗣</t>
    <phoneticPr fontId="3"/>
  </si>
  <si>
    <t>20140626</t>
  </si>
  <si>
    <t>093948</t>
  </si>
  <si>
    <t>006000000399110010126320140626093948</t>
  </si>
  <si>
    <t>左</t>
    <phoneticPr fontId="3"/>
  </si>
  <si>
    <t>006000000370710010126320140626093948</t>
  </si>
  <si>
    <t>(自署または記名押印）</t>
    <rPh sb="1" eb="3">
      <t>ジショ</t>
    </rPh>
    <rPh sb="6" eb="10">
      <t>キメイオウイン</t>
    </rPh>
    <phoneticPr fontId="3"/>
  </si>
  <si>
    <t>手術に関する説明書、同意書(病院控え）</t>
    <rPh sb="0" eb="2">
      <t>シュジュツ</t>
    </rPh>
    <rPh sb="14" eb="17">
      <t>ビョウインヒカ</t>
    </rPh>
    <phoneticPr fontId="3"/>
  </si>
  <si>
    <t>手術に関する説明書、同意書(本人控え)</t>
    <rPh sb="0" eb="2">
      <t>シュジュツ</t>
    </rPh>
    <rPh sb="14" eb="16">
      <t>ホンニン</t>
    </rPh>
    <rPh sb="16" eb="17">
      <t>ヒカ</t>
    </rPh>
    <phoneticPr fontId="3"/>
  </si>
  <si>
    <t>　　　角膜移植術・強膜移植術の実施の説明記録書</t>
    <rPh sb="3" eb="5">
      <t>カクマク</t>
    </rPh>
    <rPh sb="5" eb="7">
      <t>イショク</t>
    </rPh>
    <rPh sb="7" eb="8">
      <t>ジュツ</t>
    </rPh>
    <rPh sb="9" eb="10">
      <t>ツヨシ</t>
    </rPh>
    <rPh sb="10" eb="11">
      <t>マク</t>
    </rPh>
    <rPh sb="11" eb="13">
      <t>イショク</t>
    </rPh>
    <rPh sb="13" eb="14">
      <t>ジュツ</t>
    </rPh>
    <rPh sb="15" eb="17">
      <t>ジッシ</t>
    </rPh>
    <rPh sb="18" eb="20">
      <t>セツメイ</t>
    </rPh>
    <rPh sb="20" eb="23">
      <t>キロクショ</t>
    </rPh>
    <phoneticPr fontId="3"/>
  </si>
  <si>
    <t>説明を行った医師</t>
    <rPh sb="0" eb="2">
      <t>セツメイ</t>
    </rPh>
    <rPh sb="3" eb="4">
      <t>オコナ</t>
    </rPh>
    <rPh sb="6" eb="8">
      <t>イシ</t>
    </rPh>
    <phoneticPr fontId="3"/>
  </si>
  <si>
    <t>氏名</t>
    <rPh sb="0" eb="2">
      <t>シメイ</t>
    </rPh>
    <phoneticPr fontId="11"/>
  </si>
  <si>
    <t>住所</t>
    <rPh sb="0" eb="2">
      <t>ジュウショ</t>
    </rPh>
    <phoneticPr fontId="11"/>
  </si>
  <si>
    <t>(又は所属医療機関の所在地及び名称)</t>
    <rPh sb="1" eb="2">
      <t>マタ</t>
    </rPh>
    <rPh sb="3" eb="9">
      <t>ショゾクイリョウキカン</t>
    </rPh>
    <rPh sb="10" eb="13">
      <t>ショザイチ</t>
    </rPh>
    <rPh sb="13" eb="14">
      <t>オヨ</t>
    </rPh>
    <rPh sb="15" eb="17">
      <t>メイショウ</t>
    </rPh>
    <phoneticPr fontId="11"/>
  </si>
  <si>
    <t>説明日時</t>
    <rPh sb="0" eb="4">
      <t>セツメイニチジ</t>
    </rPh>
    <phoneticPr fontId="11"/>
  </si>
  <si>
    <t>説明を行った場所</t>
    <rPh sb="0" eb="2">
      <t>セツメイ</t>
    </rPh>
    <rPh sb="3" eb="4">
      <t>オコナ</t>
    </rPh>
    <rPh sb="6" eb="8">
      <t>バショ</t>
    </rPh>
    <phoneticPr fontId="11"/>
  </si>
  <si>
    <t>名称</t>
    <rPh sb="0" eb="2">
      <t>メイショウ</t>
    </rPh>
    <phoneticPr fontId="11"/>
  </si>
  <si>
    <t>真生会富山病院</t>
  </si>
  <si>
    <t>所在地</t>
    <rPh sb="0" eb="3">
      <t>ショザイチ</t>
    </rPh>
    <phoneticPr fontId="11"/>
  </si>
  <si>
    <t>富山県射水市下若89-10</t>
    <phoneticPr fontId="11"/>
  </si>
  <si>
    <t>説明を受けた者</t>
    <rPh sb="0" eb="2">
      <t>セツメイ</t>
    </rPh>
    <rPh sb="3" eb="4">
      <t>ウ</t>
    </rPh>
    <rPh sb="6" eb="7">
      <t>モノ</t>
    </rPh>
    <phoneticPr fontId="11"/>
  </si>
  <si>
    <t>移植を受けたの者との続柄</t>
    <rPh sb="0" eb="2">
      <t>イショク</t>
    </rPh>
    <rPh sb="3" eb="4">
      <t>ウ</t>
    </rPh>
    <rPh sb="7" eb="8">
      <t>モノ</t>
    </rPh>
    <rPh sb="10" eb="12">
      <t>ゾクガラ</t>
    </rPh>
    <phoneticPr fontId="11"/>
  </si>
  <si>
    <t>立会人の有無</t>
    <rPh sb="0" eb="3">
      <t>タチアイニン</t>
    </rPh>
    <rPh sb="4" eb="6">
      <t>ウム</t>
    </rPh>
    <phoneticPr fontId="11"/>
  </si>
  <si>
    <t>（　　有　　・　　無　　）</t>
    <rPh sb="3" eb="4">
      <t>ア</t>
    </rPh>
    <rPh sb="9" eb="10">
      <t>ナ</t>
    </rPh>
    <phoneticPr fontId="11"/>
  </si>
  <si>
    <t>有の場合</t>
    <rPh sb="0" eb="1">
      <t>ア</t>
    </rPh>
    <rPh sb="2" eb="4">
      <t>バアイ</t>
    </rPh>
    <phoneticPr fontId="11"/>
  </si>
  <si>
    <t>立会人</t>
    <rPh sb="0" eb="3">
      <t>タチアイニン</t>
    </rPh>
    <phoneticPr fontId="11"/>
  </si>
  <si>
    <t>説明した事項</t>
    <rPh sb="0" eb="2">
      <t>セツメイ</t>
    </rPh>
    <rPh sb="4" eb="6">
      <t>ジコウ</t>
    </rPh>
    <phoneticPr fontId="11"/>
  </si>
  <si>
    <t>患者の病状、移植術を実施した場合に得られる利益と危険、移植術実施までの手順、移植術に必要な検査、手術後の検査・服薬の必要性とその危険性、その他</t>
    <rPh sb="0" eb="2">
      <t>カンジャ</t>
    </rPh>
    <rPh sb="3" eb="5">
      <t>ビョウジョウ</t>
    </rPh>
    <rPh sb="6" eb="9">
      <t>イショクジュツ</t>
    </rPh>
    <rPh sb="10" eb="12">
      <t>ジッシ</t>
    </rPh>
    <rPh sb="14" eb="16">
      <t>バアイ</t>
    </rPh>
    <rPh sb="17" eb="18">
      <t>エ</t>
    </rPh>
    <rPh sb="21" eb="23">
      <t>リエキ</t>
    </rPh>
    <rPh sb="24" eb="26">
      <t>キケン</t>
    </rPh>
    <rPh sb="27" eb="30">
      <t>イショクジュツ</t>
    </rPh>
    <rPh sb="30" eb="32">
      <t>ジッシ</t>
    </rPh>
    <rPh sb="35" eb="37">
      <t>テジュン</t>
    </rPh>
    <rPh sb="38" eb="41">
      <t>イショクジュツ</t>
    </rPh>
    <rPh sb="42" eb="44">
      <t>ヒツヨウ</t>
    </rPh>
    <rPh sb="45" eb="47">
      <t>ケンサ</t>
    </rPh>
    <rPh sb="48" eb="51">
      <t>シュジュツゴ</t>
    </rPh>
    <rPh sb="52" eb="54">
      <t>ケンサ</t>
    </rPh>
    <rPh sb="55" eb="57">
      <t>フクヤク</t>
    </rPh>
    <rPh sb="58" eb="61">
      <t>ヒツヨウセイ</t>
    </rPh>
    <rPh sb="64" eb="67">
      <t>キケンセイ</t>
    </rPh>
    <rPh sb="70" eb="71">
      <t>タ</t>
    </rPh>
    <phoneticPr fontId="11"/>
  </si>
  <si>
    <t>記録作成日</t>
    <rPh sb="0" eb="5">
      <t>キロクサクセイビ</t>
    </rPh>
    <phoneticPr fontId="11"/>
  </si>
  <si>
    <t>記録作成者(説明医)</t>
    <rPh sb="0" eb="5">
      <t>キロクサクセイシャ</t>
    </rPh>
    <rPh sb="6" eb="9">
      <t>セツメイイ</t>
    </rPh>
    <phoneticPr fontId="11"/>
  </si>
  <si>
    <t>印</t>
    <rPh sb="0" eb="1">
      <t>イン</t>
    </rPh>
    <phoneticPr fontId="11"/>
  </si>
  <si>
    <t>角膜・強膜移植記録書</t>
    <rPh sb="0" eb="2">
      <t>カクマク</t>
    </rPh>
    <rPh sb="3" eb="4">
      <t>ツヨシ</t>
    </rPh>
    <rPh sb="4" eb="5">
      <t>マク</t>
    </rPh>
    <rPh sb="5" eb="7">
      <t>イショク</t>
    </rPh>
    <rPh sb="7" eb="10">
      <t>キロクショ</t>
    </rPh>
    <phoneticPr fontId="3"/>
  </si>
  <si>
    <t>Tissue　No.</t>
    <phoneticPr fontId="11"/>
  </si>
  <si>
    <t>移植を受けた者</t>
    <rPh sb="0" eb="2">
      <t>イショク</t>
    </rPh>
    <rPh sb="3" eb="4">
      <t>ウ</t>
    </rPh>
    <rPh sb="6" eb="7">
      <t>モノ</t>
    </rPh>
    <phoneticPr fontId="11"/>
  </si>
  <si>
    <t>生年月日</t>
    <rPh sb="0" eb="4">
      <t>セイネンガッピ</t>
    </rPh>
    <phoneticPr fontId="11"/>
  </si>
  <si>
    <t>病名</t>
    <rPh sb="0" eb="2">
      <t>ビョウメイ</t>
    </rPh>
    <phoneticPr fontId="11"/>
  </si>
  <si>
    <t>　緑内障</t>
    <rPh sb="1" eb="4">
      <t>リョクナイショウ</t>
    </rPh>
    <phoneticPr fontId="11"/>
  </si>
  <si>
    <t>移植日時</t>
    <rPh sb="0" eb="4">
      <t>イショクニチジ</t>
    </rPh>
    <phoneticPr fontId="11"/>
  </si>
  <si>
    <t>移植を行った機関</t>
    <rPh sb="0" eb="2">
      <t>イショク</t>
    </rPh>
    <rPh sb="3" eb="4">
      <t>オコナ</t>
    </rPh>
    <rPh sb="6" eb="8">
      <t>キカン</t>
    </rPh>
    <phoneticPr fontId="11"/>
  </si>
  <si>
    <t>　真生会富山病院</t>
    <rPh sb="1" eb="8">
      <t>シンセイカイトヤマビョウイン</t>
    </rPh>
    <phoneticPr fontId="11"/>
  </si>
  <si>
    <t>　富山県射水市下若89-10</t>
    <phoneticPr fontId="11"/>
  </si>
  <si>
    <t>術式</t>
    <rPh sb="0" eb="2">
      <t>ジュツシキ</t>
    </rPh>
    <phoneticPr fontId="11"/>
  </si>
  <si>
    <t>　緑内障チューブシャント手術(プレート付き)</t>
    <rPh sb="1" eb="4">
      <t>リョクナイショウ</t>
    </rPh>
    <rPh sb="12" eb="14">
      <t>シュジュツ</t>
    </rPh>
    <rPh sb="19" eb="20">
      <t>ツ</t>
    </rPh>
    <phoneticPr fontId="11"/>
  </si>
  <si>
    <t>移植した眼球組織
の名称</t>
    <rPh sb="0" eb="2">
      <t>イショク</t>
    </rPh>
    <rPh sb="4" eb="8">
      <t>ガンキュウソシキ</t>
    </rPh>
    <rPh sb="10" eb="12">
      <t>メイショウ</t>
    </rPh>
    <phoneticPr fontId="11"/>
  </si>
  <si>
    <t>移植を行う必要性</t>
    <rPh sb="0" eb="2">
      <t>イショク</t>
    </rPh>
    <rPh sb="3" eb="4">
      <t>オコナ</t>
    </rPh>
    <rPh sb="5" eb="8">
      <t>ヒツヨウセイ</t>
    </rPh>
    <phoneticPr fontId="11"/>
  </si>
  <si>
    <t>チューブの露出予防</t>
    <rPh sb="5" eb="9">
      <t>ロシュツヨボウ</t>
    </rPh>
    <phoneticPr fontId="11"/>
  </si>
  <si>
    <t>移植を行うことに承諾がある　（　　承諾がある　　・　　承諾がない　　）</t>
    <rPh sb="0" eb="2">
      <t>イショク</t>
    </rPh>
    <rPh sb="3" eb="4">
      <t>オコナ</t>
    </rPh>
    <rPh sb="8" eb="10">
      <t>ショウダク</t>
    </rPh>
    <phoneticPr fontId="11"/>
  </si>
  <si>
    <t>承諾者の</t>
  </si>
  <si>
    <t>続柄</t>
    <rPh sb="0" eb="2">
      <t>ゾクガラ</t>
    </rPh>
    <phoneticPr fontId="11"/>
  </si>
  <si>
    <t>記録作成者(移植医)</t>
    <rPh sb="0" eb="5">
      <t>キロクサクセイシャ</t>
    </rPh>
    <rPh sb="6" eb="9">
      <t>イショクイ</t>
    </rPh>
    <phoneticPr fontId="11"/>
  </si>
  <si>
    <t>　富山県射水市下若89-10　真生会富山病院</t>
    <rPh sb="1" eb="4">
      <t>トヤマケン</t>
    </rPh>
    <rPh sb="4" eb="7">
      <t>イミズシ</t>
    </rPh>
    <rPh sb="7" eb="9">
      <t>シモワカ</t>
    </rPh>
    <rPh sb="15" eb="22">
      <t>シンセイカイトヤマビョウイン</t>
    </rPh>
    <phoneticPr fontId="11"/>
  </si>
  <si>
    <t>午前　・　午後　　　　時　　　　分</t>
  </si>
  <si>
    <t>性別</t>
    <rPh sb="0" eb="2">
      <t>セイベツ</t>
    </rPh>
    <phoneticPr fontId="3"/>
  </si>
  <si>
    <t>年　　　月　　　日　AM・PM　　　 時　　　　分(開始時)</t>
    <rPh sb="0" eb="1">
      <t>ネン</t>
    </rPh>
    <rPh sb="4" eb="5">
      <t>ガツ</t>
    </rPh>
    <rPh sb="8" eb="9">
      <t>ニチ</t>
    </rPh>
    <rPh sb="19" eb="20">
      <t>ジ</t>
    </rPh>
    <rPh sb="24" eb="25">
      <t>フン</t>
    </rPh>
    <rPh sb="26" eb="29">
      <t>カイシジ</t>
    </rPh>
    <phoneticPr fontId="11"/>
  </si>
  <si>
    <t>年　　　月　　　日　AM・PM　　　 時　　　　分(終了時)</t>
    <rPh sb="0" eb="1">
      <t>ネン</t>
    </rPh>
    <rPh sb="4" eb="5">
      <t>ガツ</t>
    </rPh>
    <rPh sb="8" eb="9">
      <t>ニチ</t>
    </rPh>
    <rPh sb="19" eb="20">
      <t>ジ</t>
    </rPh>
    <rPh sb="24" eb="25">
      <t>フン</t>
    </rPh>
    <rPh sb="26" eb="29">
      <t>シュウリョウジ</t>
    </rPh>
    <phoneticPr fontId="11"/>
  </si>
  <si>
    <t>角膜・強膜のあっせん者：公益財団法人石川県アイバンク　金沢市宝町13-1</t>
    <rPh sb="0" eb="2">
      <t>カクマク</t>
    </rPh>
    <rPh sb="3" eb="5">
      <t>キョウマク</t>
    </rPh>
    <rPh sb="10" eb="11">
      <t>シャ</t>
    </rPh>
    <phoneticPr fontId="11"/>
  </si>
  <si>
    <t>移植医が特に必要と認めた事項：</t>
    <rPh sb="0" eb="3">
      <t>イショクイ</t>
    </rPh>
    <rPh sb="4" eb="5">
      <t>トク</t>
    </rPh>
    <phoneticPr fontId="11"/>
  </si>
  <si>
    <t>年　　　　月　　　　日　　(　　　 　歳)</t>
    <phoneticPr fontId="3"/>
  </si>
  <si>
    <t>　　　　　　　　年　　　　月　　　　日</t>
    <phoneticPr fontId="3"/>
  </si>
  <si>
    <t>　強膜（　右　・　左　）</t>
    <phoneticPr fontId="3"/>
  </si>
  <si>
    <t>移植医</t>
    <rPh sb="0" eb="2">
      <t>イショク</t>
    </rPh>
    <rPh sb="2" eb="3">
      <t>イ</t>
    </rPh>
    <phoneticPr fontId="11"/>
  </si>
  <si>
    <t>　舘 奈保子</t>
    <rPh sb="1" eb="2">
      <t>ヤカタ</t>
    </rPh>
    <rPh sb="3" eb="6">
      <t>ナホコ</t>
    </rPh>
    <phoneticPr fontId="11"/>
  </si>
  <si>
    <t>同席職員</t>
    <rPh sb="0" eb="4">
      <t>ドウセキショクイン</t>
    </rPh>
    <phoneticPr fontId="3"/>
  </si>
  <si>
    <t>手術日</t>
    <rPh sb="0" eb="3">
      <t>シュジュツビ</t>
    </rPh>
    <phoneticPr fontId="3"/>
  </si>
  <si>
    <t>手術日　　　　　　年　　　　月　　　　日</t>
    <phoneticPr fontId="3"/>
  </si>
  <si>
    <t>局麻コメント</t>
    <rPh sb="0" eb="2">
      <t>キョク</t>
    </rPh>
    <phoneticPr fontId="3"/>
  </si>
  <si>
    <t>　ごくまれに、局所麻酔薬に対してアレルギー反応（アナフィラキシーなど）が起こることがあります。発症時には直ちに適切な対応を行いますが、重篤な場合には命に関わる可能性もあります。これまでに麻酔や薬剤でアレルギー反応を起こしたことがある場合は、事前にお知らせください。</t>
  </si>
  <si>
    <t>同意書・告知書(病院控え）</t>
    <rPh sb="4" eb="7">
      <t>コクチショ</t>
    </rPh>
    <rPh sb="8" eb="11">
      <t>ビョウインヒカ</t>
    </rPh>
    <phoneticPr fontId="3"/>
  </si>
  <si>
    <t>同意書・告知書(本人控え）</t>
    <rPh sb="4" eb="7">
      <t>コクチショ</t>
    </rPh>
    <rPh sb="8" eb="10">
      <t>ホンニン</t>
    </rPh>
    <rPh sb="10" eb="11">
      <t>ヒカ</t>
    </rPh>
    <phoneticPr fontId="3"/>
  </si>
  <si>
    <t>私は上記の説明を受けその内容を理解しました</t>
    <rPh sb="0" eb="1">
      <t>ワタシ</t>
    </rPh>
    <phoneticPr fontId="3"/>
  </si>
  <si>
    <t>本人署名</t>
    <rPh sb="0" eb="2">
      <t>ホンニン</t>
    </rPh>
    <rPh sb="2" eb="4">
      <t>ショメイ</t>
    </rPh>
    <phoneticPr fontId="3"/>
  </si>
  <si>
    <t>説明を聞かれて、別の医療機関へのセカンドオピニオンを希望される場合には、お申し出下さい。</t>
    <phoneticPr fontId="3"/>
  </si>
  <si>
    <t>医師の説明に対し、じゅうぶんご理解いただけましたら、 該当項目にチェック後署名をお願いします。</t>
  </si>
  <si>
    <t>1.□ わかりました。 その上で納得して同意します。</t>
  </si>
  <si>
    <t>3.□ わかりましたが、 同意しません。</t>
  </si>
  <si>
    <t>4.□ セカンドオピニオンを希望します。</t>
  </si>
  <si>
    <t>2.□ わかりました。後日返事します。</t>
    <phoneticPr fontId="3"/>
  </si>
  <si>
    <t>→</t>
    <phoneticPr fontId="3"/>
  </si>
  <si>
    <t>(代諾者署名　　　　　　　　　　　　　　　　　(続柄　　　　　））</t>
    <rPh sb="1" eb="4">
      <t>ダイダクシャ</t>
    </rPh>
    <rPh sb="4" eb="6">
      <t>ショメイ</t>
    </rPh>
    <rPh sb="24" eb="26">
      <t>ゾクガラ</t>
    </rPh>
    <phoneticPr fontId="3"/>
  </si>
  <si>
    <t>1.□ わかりました。 その上で納得して貴院に入院して手術を受けることに同意します。</t>
    <rPh sb="20" eb="22">
      <t>キイン</t>
    </rPh>
    <rPh sb="23" eb="25">
      <t>ニュウイン</t>
    </rPh>
    <rPh sb="27" eb="29">
      <t>シュジュツ</t>
    </rPh>
    <rPh sb="30" eb="31">
      <t>ウ</t>
    </rPh>
    <phoneticPr fontId="3"/>
  </si>
  <si>
    <t>1.□ わかりました。 その上で納得して短期滞在手術を受けることに同意します。</t>
    <rPh sb="20" eb="22">
      <t>タンキ</t>
    </rPh>
    <rPh sb="22" eb="24">
      <t>タイザイ</t>
    </rPh>
    <rPh sb="24" eb="26">
      <t>シュジュツ</t>
    </rPh>
    <rPh sb="27" eb="28">
      <t>ウ</t>
    </rPh>
    <phoneticPr fontId="3"/>
  </si>
  <si>
    <t xml:space="preserve">      　　年      　　月      　　日</t>
    <phoneticPr fontId="3"/>
  </si>
  <si>
    <t>その後の経過 (スタッフ記入欄)</t>
    <phoneticPr fontId="3"/>
  </si>
  <si>
    <t>その後の経過 (スタッフ記入欄)</t>
    <phoneticPr fontId="3"/>
  </si>
  <si>
    <t>その後の経過 (スタッフ記入欄)</t>
    <phoneticPr fontId="3"/>
  </si>
  <si>
    <t>検査に関する説明書、同意書(病院控え）</t>
    <rPh sb="14" eb="17">
      <t>ビョウインヒカ</t>
    </rPh>
    <phoneticPr fontId="3"/>
  </si>
  <si>
    <t>１．検査の名称 ：</t>
    <phoneticPr fontId="3"/>
  </si>
  <si>
    <t>検査に関する説明書、同意書(本人控え)</t>
    <rPh sb="14" eb="16">
      <t>ホンニン</t>
    </rPh>
    <rPh sb="16" eb="17">
      <t>ヒカ</t>
    </rPh>
    <phoneticPr fontId="3"/>
  </si>
  <si>
    <t>１．検査の名称 ：</t>
    <phoneticPr fontId="3"/>
  </si>
  <si>
    <t>注射に関する説明書、同意書(病院控え）</t>
    <rPh sb="14" eb="17">
      <t>ビョウインヒカ</t>
    </rPh>
    <phoneticPr fontId="3"/>
  </si>
  <si>
    <t>１．注射の名称 ：</t>
    <phoneticPr fontId="3"/>
  </si>
  <si>
    <t>３．注射の説明</t>
  </si>
  <si>
    <t>注射に関する説明書、同意書(本人控え)</t>
    <rPh sb="14" eb="16">
      <t>ホンニン</t>
    </rPh>
    <rPh sb="16" eb="17">
      <t>ヒカ</t>
    </rPh>
    <phoneticPr fontId="3"/>
  </si>
  <si>
    <t>２．検査の説明</t>
    <phoneticPr fontId="3"/>
  </si>
  <si>
    <t>手術に関する説明書、同意書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</si>
</sst>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&quot;年&quot;m&quot;月&quot;d&quot;日&quot;;@"/>
    <numFmt numFmtId="177" formatCode="yyyy&quot;年&quot;mm&quot;月&quot;dd&quot;日&quot;"/>
  </numFmts>
  <fonts count="15" x14ac:knownFonts="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6"/>
      <name val="ＭＳ Ｐゴシック"/>
      <family val="3"/>
      <charset val="128"/>
    </font>
    <font>
      <sz val="20"/>
      <name val="ＭＳ Ｐゴシック"/>
      <family val="3"/>
      <charset val="128"/>
    </font>
    <font>
      <sz val="16"/>
      <name val="ＭＳ Ｐゴシック"/>
      <family val="3"/>
      <charset val="128"/>
    </font>
    <font>
      <sz val="12"/>
      <name val="ＭＳ Ｐゴシック"/>
      <family val="3"/>
      <charset val="128"/>
    </font>
    <font>
      <sz val="14"/>
      <name val="ＭＳ Ｐゴシック"/>
      <family val="3"/>
      <charset val="128"/>
    </font>
    <font>
      <b/>
      <sz val="18"/>
      <name val="ＭＳ Ｐゴシック"/>
      <family val="3"/>
      <charset val="128"/>
    </font>
    <font>
      <b/>
      <sz val="16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3"/>
      <charset val="128"/>
    </font>
    <font>
      <sz val="9"/>
      <color theme="1"/>
      <name val="ＭＳ Ｐゴシック"/>
      <family val="3"/>
      <charset val="128"/>
    </font>
    <font>
      <sz val="12"/>
      <color theme="1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rgb="FFFFFF00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0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top"/>
      <protection locked="0"/>
    </xf>
    <xf numFmtId="38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</cellStyleXfs>
  <cellXfs count="207">
    <xf numFmtId="0" fontId="0" fillId="0" borderId="0" xfId="0">
      <alignment vertical="center"/>
    </xf>
    <xf numFmtId="0" fontId="1" fillId="0" borderId="0" xfId="9"/>
    <xf numFmtId="49" fontId="1" fillId="0" borderId="0" xfId="9" applyNumberFormat="1"/>
    <xf numFmtId="0" fontId="1" fillId="2" borderId="1" xfId="9" applyFill="1" applyBorder="1" applyAlignment="1">
      <alignment wrapText="1"/>
    </xf>
    <xf numFmtId="49" fontId="1" fillId="0" borderId="2" xfId="9" applyNumberFormat="1" applyBorder="1" applyAlignment="1">
      <alignment wrapText="1"/>
    </xf>
    <xf numFmtId="0" fontId="1" fillId="0" borderId="2" xfId="9" applyBorder="1" applyAlignment="1">
      <alignment wrapText="1"/>
    </xf>
    <xf numFmtId="14" fontId="1" fillId="0" borderId="2" xfId="9" applyNumberFormat="1" applyBorder="1" applyAlignment="1">
      <alignment wrapText="1"/>
    </xf>
    <xf numFmtId="0" fontId="1" fillId="0" borderId="3" xfId="9" applyBorder="1" applyAlignment="1">
      <alignment wrapText="1"/>
    </xf>
    <xf numFmtId="0" fontId="1" fillId="0" borderId="2" xfId="9" applyBorder="1"/>
    <xf numFmtId="0" fontId="1" fillId="0" borderId="4" xfId="9" applyBorder="1"/>
    <xf numFmtId="0" fontId="1" fillId="2" borderId="5" xfId="9" applyFill="1" applyBorder="1" applyAlignment="1">
      <alignment wrapText="1"/>
    </xf>
    <xf numFmtId="49" fontId="1" fillId="0" borderId="6" xfId="9" applyNumberFormat="1" applyBorder="1" applyAlignment="1">
      <alignment wrapText="1"/>
    </xf>
    <xf numFmtId="0" fontId="1" fillId="2" borderId="6" xfId="9" applyFill="1" applyBorder="1" applyAlignment="1">
      <alignment wrapText="1"/>
    </xf>
    <xf numFmtId="0" fontId="1" fillId="0" borderId="6" xfId="9" applyBorder="1"/>
    <xf numFmtId="0" fontId="1" fillId="0" borderId="6" xfId="9" applyBorder="1" applyAlignment="1">
      <alignment wrapText="1"/>
    </xf>
    <xf numFmtId="0" fontId="1" fillId="0" borderId="7" xfId="9" applyBorder="1" applyAlignment="1">
      <alignment wrapText="1"/>
    </xf>
    <xf numFmtId="0" fontId="1" fillId="0" borderId="8" xfId="9" applyBorder="1"/>
    <xf numFmtId="49" fontId="1" fillId="2" borderId="6" xfId="9" applyNumberFormat="1" applyFill="1" applyBorder="1" applyAlignment="1">
      <alignment wrapText="1"/>
    </xf>
    <xf numFmtId="0" fontId="1" fillId="2" borderId="6" xfId="9" applyFill="1" applyBorder="1"/>
    <xf numFmtId="49" fontId="1" fillId="0" borderId="6" xfId="9" applyNumberFormat="1" applyBorder="1" applyAlignment="1">
      <alignment horizontal="left" wrapText="1"/>
    </xf>
    <xf numFmtId="49" fontId="1" fillId="0" borderId="6" xfId="9" applyNumberFormat="1" applyBorder="1"/>
    <xf numFmtId="49" fontId="1" fillId="0" borderId="9" xfId="9" applyNumberFormat="1" applyBorder="1" applyAlignment="1">
      <alignment wrapText="1"/>
    </xf>
    <xf numFmtId="0" fontId="1" fillId="2" borderId="10" xfId="9" applyFill="1" applyBorder="1" applyAlignment="1">
      <alignment wrapText="1"/>
    </xf>
    <xf numFmtId="49" fontId="2" fillId="0" borderId="9" xfId="1" applyNumberFormat="1" applyBorder="1" applyAlignment="1" applyProtection="1">
      <alignment wrapText="1"/>
    </xf>
    <xf numFmtId="0" fontId="1" fillId="0" borderId="9" xfId="9" applyBorder="1" applyAlignment="1">
      <alignment wrapText="1"/>
    </xf>
    <xf numFmtId="0" fontId="1" fillId="0" borderId="11" xfId="9" applyBorder="1" applyAlignment="1">
      <alignment wrapText="1"/>
    </xf>
    <xf numFmtId="0" fontId="1" fillId="2" borderId="12" xfId="9" applyFill="1" applyBorder="1"/>
    <xf numFmtId="49" fontId="1" fillId="0" borderId="13" xfId="1" applyNumberFormat="1" applyFont="1" applyBorder="1" applyAlignment="1" applyProtection="1"/>
    <xf numFmtId="0" fontId="1" fillId="0" borderId="13" xfId="9" applyBorder="1"/>
    <xf numFmtId="0" fontId="1" fillId="2" borderId="13" xfId="9" applyFill="1" applyBorder="1"/>
    <xf numFmtId="0" fontId="1" fillId="0" borderId="14" xfId="9" applyBorder="1"/>
    <xf numFmtId="0" fontId="1" fillId="0" borderId="15" xfId="9" applyBorder="1"/>
    <xf numFmtId="0" fontId="1" fillId="2" borderId="1" xfId="9" applyFill="1" applyBorder="1"/>
    <xf numFmtId="49" fontId="1" fillId="0" borderId="2" xfId="9" applyNumberFormat="1" applyBorder="1"/>
    <xf numFmtId="0" fontId="1" fillId="2" borderId="2" xfId="9" applyFill="1" applyBorder="1"/>
    <xf numFmtId="0" fontId="1" fillId="2" borderId="5" xfId="9" applyFill="1" applyBorder="1"/>
    <xf numFmtId="49" fontId="1" fillId="0" borderId="13" xfId="9" applyNumberFormat="1" applyBorder="1"/>
    <xf numFmtId="0" fontId="0" fillId="0" borderId="0" xfId="0" applyAlignment="1">
      <alignment horizontal="center"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49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7" fillId="0" borderId="0" xfId="0" applyFont="1">
      <alignment vertical="center"/>
    </xf>
    <xf numFmtId="0" fontId="5" fillId="0" borderId="0" xfId="0" applyFont="1" applyAlignment="1">
      <alignment vertical="top" wrapText="1"/>
    </xf>
    <xf numFmtId="0" fontId="7" fillId="0" borderId="16" xfId="0" applyFont="1" applyBorder="1">
      <alignment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7" fillId="0" borderId="17" xfId="0" applyFont="1" applyBorder="1" applyAlignment="1">
      <alignment horizontal="center" vertical="center" wrapText="1"/>
    </xf>
    <xf numFmtId="0" fontId="6" fillId="0" borderId="18" xfId="0" applyFont="1" applyBorder="1" applyAlignment="1">
      <alignment horizontal="center" vertical="center" wrapText="1"/>
    </xf>
    <xf numFmtId="0" fontId="6" fillId="0" borderId="19" xfId="0" applyFont="1" applyBorder="1" applyAlignment="1">
      <alignment horizontal="right" vertical="center"/>
    </xf>
    <xf numFmtId="0" fontId="6" fillId="0" borderId="19" xfId="0" applyFont="1" applyBorder="1" applyAlignment="1">
      <alignment horizontal="right" vertical="center" wrapText="1"/>
    </xf>
    <xf numFmtId="0" fontId="6" fillId="0" borderId="18" xfId="0" applyFont="1" applyBorder="1">
      <alignment vertical="center"/>
    </xf>
    <xf numFmtId="0" fontId="1" fillId="2" borderId="20" xfId="9" applyFill="1" applyBorder="1"/>
    <xf numFmtId="49" fontId="1" fillId="0" borderId="21" xfId="9" applyNumberFormat="1" applyBorder="1"/>
    <xf numFmtId="0" fontId="1" fillId="2" borderId="21" xfId="9" applyFill="1" applyBorder="1"/>
    <xf numFmtId="0" fontId="1" fillId="0" borderId="21" xfId="9" applyBorder="1"/>
    <xf numFmtId="0" fontId="6" fillId="0" borderId="16" xfId="0" applyFont="1" applyBorder="1" applyAlignment="1">
      <alignment horizontal="right" vertical="center"/>
    </xf>
    <xf numFmtId="49" fontId="6" fillId="0" borderId="16" xfId="0" applyNumberFormat="1" applyFont="1" applyBorder="1">
      <alignment vertical="center"/>
    </xf>
    <xf numFmtId="0" fontId="6" fillId="0" borderId="16" xfId="0" applyFont="1" applyBorder="1">
      <alignment vertical="center"/>
    </xf>
    <xf numFmtId="0" fontId="5" fillId="0" borderId="0" xfId="0" applyFont="1" applyAlignment="1">
      <alignment vertical="center" wrapText="1"/>
    </xf>
    <xf numFmtId="0" fontId="5" fillId="0" borderId="16" xfId="0" applyFont="1" applyBorder="1">
      <alignment vertical="center"/>
    </xf>
    <xf numFmtId="0" fontId="5" fillId="0" borderId="0" xfId="0" applyFont="1" applyAlignment="1">
      <alignment horizontal="left" vertical="center"/>
    </xf>
    <xf numFmtId="0" fontId="5" fillId="0" borderId="16" xfId="0" applyFont="1" applyBorder="1" applyAlignment="1">
      <alignment horizontal="right" vertical="center"/>
    </xf>
    <xf numFmtId="49" fontId="0" fillId="0" borderId="0" xfId="0" applyNumberFormat="1">
      <alignment vertical="center"/>
    </xf>
    <xf numFmtId="0" fontId="8" fillId="0" borderId="0" xfId="0" applyFont="1" applyAlignment="1">
      <alignment vertical="center" shrinkToFit="1"/>
    </xf>
    <xf numFmtId="0" fontId="6" fillId="0" borderId="0" xfId="0" applyFont="1" applyAlignment="1">
      <alignment horizontal="left" vertical="center"/>
    </xf>
    <xf numFmtId="0" fontId="5" fillId="0" borderId="0" xfId="0" applyFont="1" applyAlignment="1">
      <alignment vertical="center" shrinkToFit="1"/>
    </xf>
    <xf numFmtId="0" fontId="5" fillId="0" borderId="0" xfId="0" applyFont="1" applyAlignment="1">
      <alignment horizontal="right" vertical="center"/>
    </xf>
    <xf numFmtId="49" fontId="5" fillId="0" borderId="0" xfId="0" applyNumberFormat="1" applyFont="1" applyAlignment="1">
      <alignment vertical="center" wrapText="1"/>
    </xf>
    <xf numFmtId="49" fontId="5" fillId="0" borderId="0" xfId="0" applyNumberFormat="1" applyFont="1" applyAlignment="1">
      <alignment horizontal="right" vertical="center" wrapText="1"/>
    </xf>
    <xf numFmtId="0" fontId="6" fillId="0" borderId="16" xfId="0" applyFont="1" applyBorder="1" applyAlignment="1">
      <alignment horizontal="center" vertical="center"/>
    </xf>
    <xf numFmtId="49" fontId="5" fillId="0" borderId="0" xfId="0" applyNumberFormat="1" applyFont="1" applyAlignment="1">
      <alignment vertical="center" shrinkToFit="1"/>
    </xf>
    <xf numFmtId="176" fontId="5" fillId="0" borderId="16" xfId="0" applyNumberFormat="1" applyFont="1" applyBorder="1">
      <alignment vertical="center"/>
    </xf>
    <xf numFmtId="0" fontId="5" fillId="0" borderId="16" xfId="0" applyFont="1" applyBorder="1" applyAlignment="1"/>
    <xf numFmtId="0" fontId="5" fillId="0" borderId="0" xfId="0" applyFont="1" applyAlignment="1"/>
    <xf numFmtId="0" fontId="0" fillId="0" borderId="0" xfId="0" applyAlignment="1"/>
    <xf numFmtId="0" fontId="0" fillId="0" borderId="16" xfId="0" applyBorder="1" applyAlignment="1">
      <alignment horizontal="center" vertical="center"/>
    </xf>
    <xf numFmtId="0" fontId="1" fillId="0" borderId="0" xfId="3">
      <alignment vertical="center"/>
    </xf>
    <xf numFmtId="0" fontId="1" fillId="0" borderId="0" xfId="3" applyAlignment="1">
      <alignment horizontal="left" vertical="center"/>
    </xf>
    <xf numFmtId="49" fontId="1" fillId="0" borderId="0" xfId="3" applyNumberFormat="1">
      <alignment vertical="center"/>
    </xf>
    <xf numFmtId="0" fontId="10" fillId="0" borderId="0" xfId="3" applyFont="1" applyAlignment="1">
      <alignment horizontal="center" vertical="center" shrinkToFit="1"/>
    </xf>
    <xf numFmtId="0" fontId="10" fillId="0" borderId="0" xfId="3" applyFont="1" applyAlignment="1">
      <alignment vertical="center" shrinkToFit="1"/>
    </xf>
    <xf numFmtId="49" fontId="1" fillId="0" borderId="16" xfId="3" applyNumberFormat="1" applyBorder="1" applyAlignment="1">
      <alignment vertical="center" wrapText="1"/>
    </xf>
    <xf numFmtId="49" fontId="1" fillId="0" borderId="0" xfId="3" applyNumberFormat="1" applyAlignment="1">
      <alignment vertical="center" shrinkToFit="1"/>
    </xf>
    <xf numFmtId="49" fontId="1" fillId="0" borderId="0" xfId="3" applyNumberFormat="1" applyAlignment="1">
      <alignment vertical="center" wrapText="1"/>
    </xf>
    <xf numFmtId="49" fontId="1" fillId="0" borderId="0" xfId="3" applyNumberFormat="1" applyAlignment="1">
      <alignment horizontal="center" vertical="center" shrinkToFit="1"/>
    </xf>
    <xf numFmtId="0" fontId="1" fillId="0" borderId="16" xfId="3" applyBorder="1" applyAlignment="1">
      <alignment vertical="center" wrapText="1"/>
    </xf>
    <xf numFmtId="0" fontId="1" fillId="0" borderId="0" xfId="3" applyAlignment="1">
      <alignment horizontal="left" vertical="center" wrapText="1"/>
    </xf>
    <xf numFmtId="0" fontId="1" fillId="0" borderId="0" xfId="3" applyAlignment="1">
      <alignment horizontal="center" vertical="center" shrinkToFit="1"/>
    </xf>
    <xf numFmtId="0" fontId="1" fillId="0" borderId="16" xfId="3" applyBorder="1">
      <alignment vertical="center"/>
    </xf>
    <xf numFmtId="0" fontId="12" fillId="0" borderId="16" xfId="0" applyFont="1" applyBorder="1">
      <alignment vertical="center"/>
    </xf>
    <xf numFmtId="0" fontId="12" fillId="0" borderId="16" xfId="0" applyFont="1" applyBorder="1" applyAlignment="1">
      <alignment horizontal="left" vertical="center"/>
    </xf>
    <xf numFmtId="0" fontId="12" fillId="0" borderId="0" xfId="0" applyFont="1" applyAlignment="1">
      <alignment vertical="top"/>
    </xf>
    <xf numFmtId="0" fontId="12" fillId="0" borderId="0" xfId="0" applyFont="1">
      <alignment vertical="center"/>
    </xf>
    <xf numFmtId="0" fontId="13" fillId="0" borderId="16" xfId="0" applyFont="1" applyBorder="1" applyAlignment="1">
      <alignment horizontal="center" vertical="center"/>
    </xf>
    <xf numFmtId="0" fontId="12" fillId="0" borderId="0" xfId="0" applyFont="1" applyAlignment="1">
      <alignment horizontal="right" vertical="center"/>
    </xf>
    <xf numFmtId="0" fontId="12" fillId="0" borderId="0" xfId="0" applyFont="1" applyAlignment="1">
      <alignment horizontal="center" vertical="center"/>
    </xf>
    <xf numFmtId="0" fontId="12" fillId="0" borderId="17" xfId="0" applyFont="1" applyBorder="1" applyAlignment="1">
      <alignment horizontal="center" vertical="center"/>
    </xf>
    <xf numFmtId="0" fontId="12" fillId="0" borderId="16" xfId="0" applyFont="1" applyBorder="1" applyAlignment="1">
      <alignment horizontal="center" vertical="center"/>
    </xf>
    <xf numFmtId="0" fontId="1" fillId="0" borderId="0" xfId="3" applyAlignment="1">
      <alignment vertical="center" shrinkToFit="1"/>
    </xf>
    <xf numFmtId="0" fontId="14" fillId="0" borderId="0" xfId="0" applyFont="1">
      <alignment vertical="center"/>
    </xf>
    <xf numFmtId="0" fontId="13" fillId="0" borderId="0" xfId="0" applyFont="1" applyAlignment="1">
      <alignment horizontal="center" vertical="center"/>
    </xf>
    <xf numFmtId="0" fontId="1" fillId="0" borderId="3" xfId="9" applyBorder="1"/>
    <xf numFmtId="0" fontId="1" fillId="0" borderId="22" xfId="9" applyBorder="1"/>
    <xf numFmtId="0" fontId="1" fillId="0" borderId="7" xfId="9" applyBorder="1"/>
    <xf numFmtId="0" fontId="1" fillId="0" borderId="23" xfId="9" applyBorder="1"/>
    <xf numFmtId="0" fontId="0" fillId="0" borderId="23" xfId="9" applyFont="1" applyBorder="1" applyAlignment="1">
      <alignment horizontal="center"/>
    </xf>
    <xf numFmtId="177" fontId="1" fillId="3" borderId="0" xfId="9" applyNumberFormat="1" applyFill="1" applyAlignment="1">
      <alignment horizontal="center"/>
    </xf>
    <xf numFmtId="0" fontId="0" fillId="0" borderId="0" xfId="9" applyFont="1"/>
    <xf numFmtId="0" fontId="0" fillId="2" borderId="12" xfId="9" applyFont="1" applyFill="1" applyBorder="1"/>
    <xf numFmtId="49" fontId="0" fillId="0" borderId="0" xfId="9" applyNumberFormat="1" applyFont="1"/>
    <xf numFmtId="0" fontId="7" fillId="0" borderId="0" xfId="0" applyFont="1" applyAlignment="1"/>
    <xf numFmtId="176" fontId="7" fillId="0" borderId="16" xfId="0" applyNumberFormat="1" applyFont="1" applyBorder="1">
      <alignment vertical="center"/>
    </xf>
    <xf numFmtId="0" fontId="7" fillId="0" borderId="16" xfId="0" applyFont="1" applyBorder="1" applyAlignment="1">
      <alignment horizontal="center" vertical="center"/>
    </xf>
    <xf numFmtId="0" fontId="7" fillId="0" borderId="16" xfId="0" applyFont="1" applyBorder="1" applyAlignment="1">
      <alignment horizontal="right" vertical="center"/>
    </xf>
    <xf numFmtId="0" fontId="7" fillId="0" borderId="0" xfId="0" applyFont="1" applyAlignment="1">
      <alignment horizontal="right" vertical="center"/>
    </xf>
    <xf numFmtId="0" fontId="6" fillId="0" borderId="0" xfId="0" applyFont="1" applyAlignment="1">
      <alignment vertical="center" wrapText="1"/>
    </xf>
    <xf numFmtId="0" fontId="6" fillId="0" borderId="24" xfId="0" applyFont="1" applyBorder="1">
      <alignment vertical="center"/>
    </xf>
    <xf numFmtId="0" fontId="6" fillId="0" borderId="24" xfId="0" applyFont="1" applyBorder="1" applyAlignment="1">
      <alignment vertical="center" wrapText="1"/>
    </xf>
    <xf numFmtId="0" fontId="9" fillId="0" borderId="0" xfId="0" applyFont="1" applyAlignment="1">
      <alignment horizontal="left" vertical="center" wrapText="1"/>
    </xf>
    <xf numFmtId="0" fontId="8" fillId="0" borderId="0" xfId="0" applyFont="1" applyAlignment="1">
      <alignment horizontal="center" vertical="center"/>
    </xf>
    <xf numFmtId="49" fontId="7" fillId="0" borderId="16" xfId="0" applyNumberFormat="1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7" fillId="0" borderId="16" xfId="0" applyFont="1" applyBorder="1" applyAlignment="1">
      <alignment horizontal="right" vertical="center"/>
    </xf>
    <xf numFmtId="0" fontId="7" fillId="0" borderId="30" xfId="0" applyFont="1" applyBorder="1" applyAlignment="1"/>
    <xf numFmtId="0" fontId="7" fillId="0" borderId="31" xfId="0" applyFont="1" applyBorder="1" applyAlignment="1"/>
    <xf numFmtId="0" fontId="6" fillId="0" borderId="31" xfId="0" applyFont="1" applyBorder="1" applyAlignment="1"/>
    <xf numFmtId="0" fontId="6" fillId="0" borderId="32" xfId="0" applyFont="1" applyBorder="1" applyAlignment="1"/>
    <xf numFmtId="0" fontId="5" fillId="0" borderId="0" xfId="0" applyFont="1" applyAlignment="1">
      <alignment horizontal="left" vertical="center" shrinkToFit="1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top" wrapText="1"/>
    </xf>
    <xf numFmtId="0" fontId="0" fillId="0" borderId="25" xfId="0" applyBorder="1" applyAlignment="1">
      <alignment vertical="top"/>
    </xf>
    <xf numFmtId="0" fontId="0" fillId="0" borderId="26" xfId="0" applyBorder="1" applyAlignment="1">
      <alignment vertical="top"/>
    </xf>
    <xf numFmtId="0" fontId="0" fillId="0" borderId="27" xfId="0" applyBorder="1" applyAlignment="1">
      <alignment vertical="top"/>
    </xf>
    <xf numFmtId="0" fontId="0" fillId="0" borderId="28" xfId="0" applyBorder="1" applyAlignment="1">
      <alignment vertical="top"/>
    </xf>
    <xf numFmtId="0" fontId="0" fillId="0" borderId="16" xfId="0" applyBorder="1" applyAlignment="1">
      <alignment vertical="top"/>
    </xf>
    <xf numFmtId="0" fontId="0" fillId="0" borderId="29" xfId="0" applyBorder="1" applyAlignment="1">
      <alignment vertical="top"/>
    </xf>
    <xf numFmtId="176" fontId="7" fillId="0" borderId="16" xfId="0" applyNumberFormat="1" applyFont="1" applyBorder="1">
      <alignment vertical="center"/>
    </xf>
    <xf numFmtId="0" fontId="8" fillId="0" borderId="0" xfId="0" applyFont="1" applyAlignment="1">
      <alignment horizontal="center" vertical="center" shrinkToFit="1"/>
    </xf>
    <xf numFmtId="0" fontId="6" fillId="0" borderId="0" xfId="0" applyFont="1" applyAlignment="1">
      <alignment horizontal="right" vertical="center" shrinkToFit="1"/>
    </xf>
    <xf numFmtId="49" fontId="5" fillId="0" borderId="0" xfId="0" applyNumberFormat="1" applyFont="1" applyAlignment="1">
      <alignment vertical="center" shrinkToFit="1"/>
    </xf>
    <xf numFmtId="0" fontId="5" fillId="0" borderId="0" xfId="0" applyFont="1" applyAlignment="1">
      <alignment horizontal="left" vertical="center" wrapText="1"/>
    </xf>
    <xf numFmtId="0" fontId="5" fillId="0" borderId="0" xfId="0" applyFont="1">
      <alignment vertical="center"/>
    </xf>
    <xf numFmtId="0" fontId="6" fillId="0" borderId="19" xfId="0" applyFont="1" applyBorder="1" applyAlignment="1">
      <alignment vertical="center" wrapText="1"/>
    </xf>
    <xf numFmtId="0" fontId="6" fillId="0" borderId="18" xfId="0" applyFont="1" applyBorder="1" applyAlignment="1">
      <alignment vertical="center" wrapText="1"/>
    </xf>
    <xf numFmtId="0" fontId="6" fillId="0" borderId="33" xfId="0" applyFont="1" applyBorder="1" applyAlignment="1">
      <alignment vertical="center" wrapText="1"/>
    </xf>
    <xf numFmtId="0" fontId="4" fillId="0" borderId="0" xfId="0" applyFont="1" applyAlignment="1">
      <alignment horizontal="left" vertical="center"/>
    </xf>
    <xf numFmtId="0" fontId="1" fillId="0" borderId="17" xfId="0" applyFont="1" applyBorder="1" applyAlignment="1">
      <alignment horizontal="left" vertical="top" wrapText="1" indent="1"/>
    </xf>
    <xf numFmtId="0" fontId="7" fillId="0" borderId="16" xfId="0" applyFont="1" applyBorder="1" applyAlignment="1">
      <alignment horizontal="left" vertical="center"/>
    </xf>
    <xf numFmtId="0" fontId="6" fillId="0" borderId="19" xfId="0" applyFont="1" applyBorder="1" applyAlignment="1">
      <alignment horizontal="left" vertical="center" wrapText="1" indent="1"/>
    </xf>
    <xf numFmtId="0" fontId="6" fillId="0" borderId="18" xfId="0" applyFont="1" applyBorder="1" applyAlignment="1">
      <alignment horizontal="left" vertical="center" wrapText="1" indent="1"/>
    </xf>
    <xf numFmtId="0" fontId="6" fillId="0" borderId="33" xfId="0" applyFont="1" applyBorder="1" applyAlignment="1">
      <alignment horizontal="left" vertical="center" wrapText="1" indent="1"/>
    </xf>
    <xf numFmtId="0" fontId="6" fillId="0" borderId="18" xfId="0" applyFont="1" applyBorder="1" applyAlignment="1">
      <alignment horizontal="left" vertical="center"/>
    </xf>
    <xf numFmtId="0" fontId="6" fillId="0" borderId="33" xfId="0" applyFont="1" applyBorder="1" applyAlignment="1">
      <alignment horizontal="left" vertical="center"/>
    </xf>
    <xf numFmtId="0" fontId="7" fillId="0" borderId="16" xfId="0" applyFont="1" applyBorder="1" applyAlignment="1">
      <alignment vertical="center" shrinkToFit="1"/>
    </xf>
    <xf numFmtId="0" fontId="6" fillId="0" borderId="19" xfId="0" applyFont="1" applyBorder="1" applyAlignment="1">
      <alignment horizontal="left" vertical="center" indent="1"/>
    </xf>
    <xf numFmtId="0" fontId="6" fillId="0" borderId="18" xfId="0" applyFont="1" applyBorder="1" applyAlignment="1">
      <alignment horizontal="left" vertical="center" indent="1"/>
    </xf>
    <xf numFmtId="0" fontId="6" fillId="0" borderId="33" xfId="0" applyFont="1" applyBorder="1" applyAlignment="1">
      <alignment horizontal="left" vertical="center" indent="1"/>
    </xf>
    <xf numFmtId="0" fontId="1" fillId="0" borderId="19" xfId="0" applyFont="1" applyBorder="1" applyAlignment="1">
      <alignment horizontal="left" vertical="top" wrapText="1" indent="1"/>
    </xf>
    <xf numFmtId="0" fontId="1" fillId="0" borderId="18" xfId="0" applyFont="1" applyBorder="1" applyAlignment="1">
      <alignment horizontal="left" vertical="top" wrapText="1" indent="1"/>
    </xf>
    <xf numFmtId="0" fontId="1" fillId="0" borderId="33" xfId="0" applyFont="1" applyBorder="1" applyAlignment="1">
      <alignment horizontal="left" vertical="top" wrapText="1" indent="1"/>
    </xf>
    <xf numFmtId="0" fontId="0" fillId="0" borderId="18" xfId="0" applyBorder="1">
      <alignment vertical="center"/>
    </xf>
    <xf numFmtId="0" fontId="0" fillId="0" borderId="33" xfId="0" applyBorder="1">
      <alignment vertical="center"/>
    </xf>
    <xf numFmtId="49" fontId="7" fillId="0" borderId="16" xfId="0" applyNumberFormat="1" applyFont="1" applyBorder="1" applyAlignment="1">
      <alignment horizontal="left"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76" fontId="5" fillId="0" borderId="16" xfId="0" applyNumberFormat="1" applyFont="1" applyBorder="1" applyAlignment="1">
      <alignment horizontal="center" vertical="center"/>
    </xf>
    <xf numFmtId="49" fontId="5" fillId="0" borderId="16" xfId="0" applyNumberFormat="1" applyFont="1" applyBorder="1" applyAlignment="1">
      <alignment horizontal="center" vertical="center"/>
    </xf>
    <xf numFmtId="0" fontId="5" fillId="0" borderId="16" xfId="0" applyFont="1" applyBorder="1" applyAlignment="1">
      <alignment horizontal="right" vertical="center"/>
    </xf>
    <xf numFmtId="0" fontId="7" fillId="0" borderId="0" xfId="0" applyFont="1" applyAlignment="1">
      <alignment horizontal="left" vertical="top" wrapText="1"/>
    </xf>
    <xf numFmtId="0" fontId="5" fillId="0" borderId="16" xfId="0" applyFont="1" applyBorder="1" applyAlignment="1">
      <alignment horizontal="center" vertical="center"/>
    </xf>
    <xf numFmtId="0" fontId="12" fillId="0" borderId="19" xfId="0" applyFont="1" applyBorder="1">
      <alignment vertical="center"/>
    </xf>
    <xf numFmtId="0" fontId="12" fillId="0" borderId="18" xfId="0" applyFont="1" applyBorder="1">
      <alignment vertical="center"/>
    </xf>
    <xf numFmtId="0" fontId="12" fillId="0" borderId="33" xfId="0" applyFont="1" applyBorder="1">
      <alignment vertical="center"/>
    </xf>
    <xf numFmtId="0" fontId="12" fillId="0" borderId="16" xfId="0" applyFont="1" applyBorder="1">
      <alignment vertical="center"/>
    </xf>
    <xf numFmtId="49" fontId="14" fillId="0" borderId="16" xfId="0" applyNumberFormat="1" applyFont="1" applyBorder="1" applyAlignment="1">
      <alignment horizontal="center" vertical="center"/>
    </xf>
    <xf numFmtId="0" fontId="14" fillId="0" borderId="16" xfId="0" applyFont="1" applyBorder="1" applyAlignment="1">
      <alignment horizontal="center" vertical="center"/>
    </xf>
    <xf numFmtId="0" fontId="12" fillId="0" borderId="19" xfId="0" applyFont="1" applyBorder="1" applyAlignment="1">
      <alignment horizontal="center" vertical="center"/>
    </xf>
    <xf numFmtId="0" fontId="12" fillId="0" borderId="18" xfId="0" applyFont="1" applyBorder="1" applyAlignment="1">
      <alignment horizontal="center" vertical="center"/>
    </xf>
    <xf numFmtId="0" fontId="12" fillId="0" borderId="33" xfId="0" applyFont="1" applyBorder="1" applyAlignment="1">
      <alignment horizontal="center" vertical="center"/>
    </xf>
    <xf numFmtId="0" fontId="12" fillId="0" borderId="0" xfId="0" applyFont="1">
      <alignment vertical="center"/>
    </xf>
    <xf numFmtId="0" fontId="12" fillId="0" borderId="17" xfId="0" applyFont="1" applyBorder="1">
      <alignment vertical="center"/>
    </xf>
    <xf numFmtId="0" fontId="12" fillId="0" borderId="17" xfId="0" applyFont="1" applyBorder="1" applyAlignment="1">
      <alignment vertical="center" wrapText="1"/>
    </xf>
    <xf numFmtId="0" fontId="12" fillId="0" borderId="34" xfId="0" applyFont="1" applyBorder="1">
      <alignment vertical="center"/>
    </xf>
    <xf numFmtId="0" fontId="12" fillId="0" borderId="25" xfId="0" applyFont="1" applyBorder="1">
      <alignment vertical="center"/>
    </xf>
    <xf numFmtId="0" fontId="12" fillId="0" borderId="26" xfId="0" applyFont="1" applyBorder="1">
      <alignment vertical="center"/>
    </xf>
    <xf numFmtId="0" fontId="12" fillId="0" borderId="27" xfId="0" applyFont="1" applyBorder="1">
      <alignment vertical="center"/>
    </xf>
    <xf numFmtId="0" fontId="12" fillId="0" borderId="28" xfId="0" applyFont="1" applyBorder="1">
      <alignment vertical="center"/>
    </xf>
    <xf numFmtId="0" fontId="12" fillId="0" borderId="29" xfId="0" applyFont="1" applyBorder="1">
      <alignment vertical="center"/>
    </xf>
    <xf numFmtId="38" fontId="12" fillId="0" borderId="16" xfId="2" applyFont="1" applyBorder="1" applyAlignment="1">
      <alignment horizontal="center" vertical="center"/>
    </xf>
    <xf numFmtId="0" fontId="8" fillId="0" borderId="0" xfId="3" applyFont="1" applyAlignment="1">
      <alignment horizontal="center" vertical="center" shrinkToFit="1"/>
    </xf>
    <xf numFmtId="0" fontId="1" fillId="0" borderId="16" xfId="3" applyBorder="1" applyAlignment="1">
      <alignment horizontal="center" vertical="center" shrinkToFit="1"/>
    </xf>
    <xf numFmtId="0" fontId="1" fillId="0" borderId="16" xfId="3" applyBorder="1" applyAlignment="1">
      <alignment vertical="center" shrinkToFit="1"/>
    </xf>
    <xf numFmtId="0" fontId="12" fillId="0" borderId="16" xfId="0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0" borderId="0" xfId="0" applyFont="1" applyAlignment="1">
      <alignment horizontal="left" vertical="top" wrapText="1"/>
    </xf>
    <xf numFmtId="0" fontId="1" fillId="0" borderId="0" xfId="3" applyAlignment="1">
      <alignment vertical="center" shrinkToFit="1"/>
    </xf>
    <xf numFmtId="0" fontId="0" fillId="0" borderId="16" xfId="3" applyFont="1" applyBorder="1" applyAlignment="1">
      <alignment horizontal="center" vertical="center" shrinkToFit="1"/>
    </xf>
    <xf numFmtId="0" fontId="0" fillId="0" borderId="0" xfId="3" applyFont="1" applyAlignment="1">
      <alignment vertical="center" shrinkToFit="1"/>
    </xf>
    <xf numFmtId="0" fontId="9" fillId="0" borderId="0" xfId="3" applyFont="1" applyAlignment="1">
      <alignment horizontal="center" vertical="center" shrinkToFit="1"/>
    </xf>
    <xf numFmtId="0" fontId="1" fillId="0" borderId="0" xfId="3" applyAlignment="1">
      <alignment horizontal="right" vertical="center" shrinkToFit="1"/>
    </xf>
    <xf numFmtId="49" fontId="6" fillId="0" borderId="16" xfId="3" applyNumberFormat="1" applyFont="1" applyBorder="1" applyAlignment="1">
      <alignment horizontal="center" vertical="center" shrinkToFit="1"/>
    </xf>
    <xf numFmtId="0" fontId="6" fillId="0" borderId="16" xfId="3" applyFont="1" applyBorder="1" applyAlignment="1">
      <alignment horizontal="center" vertical="center" shrinkToFit="1"/>
    </xf>
    <xf numFmtId="0" fontId="0" fillId="0" borderId="16" xfId="3" applyFont="1" applyBorder="1" applyAlignment="1">
      <alignment vertical="center" wrapText="1"/>
    </xf>
    <xf numFmtId="0" fontId="1" fillId="0" borderId="16" xfId="3" applyBorder="1" applyAlignment="1">
      <alignment vertical="center" wrapText="1"/>
    </xf>
    <xf numFmtId="0" fontId="1" fillId="0" borderId="26" xfId="3" applyBorder="1" applyAlignment="1">
      <alignment horizontal="left" vertical="center" wrapText="1"/>
    </xf>
  </cellXfs>
  <cellStyles count="10">
    <cellStyle name="ハイパーリンク" xfId="1" builtinId="8"/>
    <cellStyle name="桁区切り" xfId="2" builtinId="6"/>
    <cellStyle name="標準" xfId="0" builtinId="0"/>
    <cellStyle name="標準 2" xfId="3" xr:uid="{99311112-1A30-4339-AC8A-203BD7F6538A}"/>
    <cellStyle name="標準 3" xfId="4" xr:uid="{2784E666-F432-48B4-9E7A-883F4DE53498}"/>
    <cellStyle name="標準 4" xfId="5" xr:uid="{743296C6-226E-40B6-9C88-E7A20A0800DF}"/>
    <cellStyle name="標準 4 2" xfId="6" xr:uid="{BF56384F-F89E-40C5-9122-40D0AAD3A311}"/>
    <cellStyle name="標準 4_輸血の同意書変更" xfId="7" xr:uid="{E1382532-60FF-4EAD-959D-4CAD031CE86F}"/>
    <cellStyle name="標準 5" xfId="8" xr:uid="{E63E34DF-97BE-4A81-A909-4692529522E0}"/>
    <cellStyle name="標準_耳鼻科_バーコード付内視鏡問診票" xfId="9" xr:uid="{B11DCEB3-CB39-4DA7-B05A-41E3A9ECAF48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213360</xdr:colOff>
          <xdr:row>2</xdr:row>
          <xdr:rowOff>160020</xdr:rowOff>
        </xdr:from>
        <xdr:to>
          <xdr:col>14</xdr:col>
          <xdr:colOff>533400</xdr:colOff>
          <xdr:row>4</xdr:row>
          <xdr:rowOff>38100</xdr:rowOff>
        </xdr:to>
        <xdr:sp macro="" textlink="">
          <xdr:nvSpPr>
            <xdr:cNvPr id="20481" name="CommandButton2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0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213360</xdr:colOff>
          <xdr:row>2</xdr:row>
          <xdr:rowOff>160020</xdr:rowOff>
        </xdr:from>
        <xdr:to>
          <xdr:col>15</xdr:col>
          <xdr:colOff>38100</xdr:colOff>
          <xdr:row>4</xdr:row>
          <xdr:rowOff>38100</xdr:rowOff>
        </xdr:to>
        <xdr:sp macro="" textlink="">
          <xdr:nvSpPr>
            <xdr:cNvPr id="12289" name="CommandButton2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1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213360</xdr:colOff>
          <xdr:row>2</xdr:row>
          <xdr:rowOff>160020</xdr:rowOff>
        </xdr:from>
        <xdr:to>
          <xdr:col>15</xdr:col>
          <xdr:colOff>38100</xdr:colOff>
          <xdr:row>4</xdr:row>
          <xdr:rowOff>38100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</xdr:colOff>
          <xdr:row>12</xdr:row>
          <xdr:rowOff>0</xdr:rowOff>
        </xdr:from>
        <xdr:to>
          <xdr:col>13</xdr:col>
          <xdr:colOff>441960</xdr:colOff>
          <xdr:row>13</xdr:row>
          <xdr:rowOff>121920</xdr:rowOff>
        </xdr:to>
        <xdr:sp macro="" textlink="">
          <xdr:nvSpPr>
            <xdr:cNvPr id="2051" name="CommandButton2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213360</xdr:colOff>
          <xdr:row>2</xdr:row>
          <xdr:rowOff>160020</xdr:rowOff>
        </xdr:from>
        <xdr:to>
          <xdr:col>15</xdr:col>
          <xdr:colOff>38100</xdr:colOff>
          <xdr:row>4</xdr:row>
          <xdr:rowOff>38100</xdr:rowOff>
        </xdr:to>
        <xdr:sp macro="" textlink="">
          <xdr:nvSpPr>
            <xdr:cNvPr id="18433" name="CommandButton2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4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213360</xdr:colOff>
          <xdr:row>2</xdr:row>
          <xdr:rowOff>160020</xdr:rowOff>
        </xdr:from>
        <xdr:to>
          <xdr:col>15</xdr:col>
          <xdr:colOff>38100</xdr:colOff>
          <xdr:row>4</xdr:row>
          <xdr:rowOff>38100</xdr:rowOff>
        </xdr:to>
        <xdr:sp macro="" textlink="">
          <xdr:nvSpPr>
            <xdr:cNvPr id="19457" name="CommandButton2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5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213360</xdr:colOff>
          <xdr:row>2</xdr:row>
          <xdr:rowOff>160020</xdr:rowOff>
        </xdr:from>
        <xdr:to>
          <xdr:col>15</xdr:col>
          <xdr:colOff>38100</xdr:colOff>
          <xdr:row>4</xdr:row>
          <xdr:rowOff>38100</xdr:rowOff>
        </xdr:to>
        <xdr:sp macro="" textlink="">
          <xdr:nvSpPr>
            <xdr:cNvPr id="17409" name="CommandButton2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6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</xdr:colOff>
          <xdr:row>5</xdr:row>
          <xdr:rowOff>7620</xdr:rowOff>
        </xdr:from>
        <xdr:to>
          <xdr:col>12</xdr:col>
          <xdr:colOff>449580</xdr:colOff>
          <xdr:row>6</xdr:row>
          <xdr:rowOff>114300</xdr:rowOff>
        </xdr:to>
        <xdr:sp macro="" textlink="">
          <xdr:nvSpPr>
            <xdr:cNvPr id="16385" name="CommandButton2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7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301487</xdr:colOff>
      <xdr:row>24</xdr:row>
      <xdr:rowOff>181555</xdr:rowOff>
    </xdr:from>
    <xdr:to>
      <xdr:col>4</xdr:col>
      <xdr:colOff>167980</xdr:colOff>
      <xdr:row>26</xdr:row>
      <xdr:rowOff>32468</xdr:rowOff>
    </xdr:to>
    <xdr:sp macro="" textlink="">
      <xdr:nvSpPr>
        <xdr:cNvPr id="13" name="楕円 12">
          <a:extLst>
            <a:ext uri="{FF2B5EF4-FFF2-40B4-BE49-F238E27FC236}">
              <a16:creationId xmlns:a16="http://schemas.microsoft.com/office/drawing/2014/main" id="{033149A0-AEB2-2929-4B61-7BC69D6C1DBA}"/>
            </a:ext>
          </a:extLst>
        </xdr:cNvPr>
        <xdr:cNvSpPr/>
      </xdr:nvSpPr>
      <xdr:spPr>
        <a:xfrm>
          <a:off x="1758812" y="5041210"/>
          <a:ext cx="336688" cy="270013"/>
        </a:xfrm>
        <a:prstGeom prst="ellipse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ja-JP" altLang="en-US"/>
        </a:p>
      </xdr:txBody>
    </xdr:sp>
    <xdr:clientData/>
  </xdr:twoCellAnchor>
  <xdr:twoCellAnchor>
    <xdr:from>
      <xdr:col>4</xdr:col>
      <xdr:colOff>288235</xdr:colOff>
      <xdr:row>40</xdr:row>
      <xdr:rowOff>0</xdr:rowOff>
    </xdr:from>
    <xdr:to>
      <xdr:col>5</xdr:col>
      <xdr:colOff>192291</xdr:colOff>
      <xdr:row>41</xdr:row>
      <xdr:rowOff>50422</xdr:rowOff>
    </xdr:to>
    <xdr:sp macro="" textlink="">
      <xdr:nvSpPr>
        <xdr:cNvPr id="14" name="楕円 13">
          <a:extLst>
            <a:ext uri="{FF2B5EF4-FFF2-40B4-BE49-F238E27FC236}">
              <a16:creationId xmlns:a16="http://schemas.microsoft.com/office/drawing/2014/main" id="{030FC35D-0DB7-E507-38DA-031A5DA0E10F}"/>
            </a:ext>
          </a:extLst>
        </xdr:cNvPr>
        <xdr:cNvSpPr/>
      </xdr:nvSpPr>
      <xdr:spPr>
        <a:xfrm>
          <a:off x="2281031" y="9897717"/>
          <a:ext cx="526773" cy="306456"/>
        </a:xfrm>
        <a:prstGeom prst="ellipse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ja-JP" altLang="en-US"/>
        </a:p>
      </xdr:txBody>
    </xdr:sp>
    <xdr:clientData/>
  </xdr:twoCellAnchor>
  <xdr:twoCellAnchor>
    <xdr:from>
      <xdr:col>4</xdr:col>
      <xdr:colOff>151074</xdr:colOff>
      <xdr:row>1</xdr:row>
      <xdr:rowOff>193151</xdr:rowOff>
    </xdr:from>
    <xdr:to>
      <xdr:col>5</xdr:col>
      <xdr:colOff>33898</xdr:colOff>
      <xdr:row>3</xdr:row>
      <xdr:rowOff>35781</xdr:rowOff>
    </xdr:to>
    <xdr:sp macro="" textlink="">
      <xdr:nvSpPr>
        <xdr:cNvPr id="16" name="楕円 15">
          <a:extLst>
            <a:ext uri="{FF2B5EF4-FFF2-40B4-BE49-F238E27FC236}">
              <a16:creationId xmlns:a16="http://schemas.microsoft.com/office/drawing/2014/main" id="{8B8C520F-6D96-6635-44F3-A384B53D6F09}"/>
            </a:ext>
          </a:extLst>
        </xdr:cNvPr>
        <xdr:cNvSpPr/>
      </xdr:nvSpPr>
      <xdr:spPr>
        <a:xfrm>
          <a:off x="2128630" y="185531"/>
          <a:ext cx="505240" cy="339587"/>
        </a:xfrm>
        <a:prstGeom prst="ellipse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ja-JP" altLang="en-US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2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2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2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2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2.emf"/><Relationship Id="rId4" Type="http://schemas.openxmlformats.org/officeDocument/2006/relationships/control" Target="../activeX/activeX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2.emf"/><Relationship Id="rId4" Type="http://schemas.openxmlformats.org/officeDocument/2006/relationships/control" Target="../activeX/activeX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file:///\\lily\TmpPdf\" TargetMode="External"/><Relationship Id="rId1" Type="http://schemas.openxmlformats.org/officeDocument/2006/relationships/hyperlink" Target="file:///\\lily\TmpPdf\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8EF5E9-0B6A-437A-A08C-F180BC5F003D}">
  <sheetPr codeName="Sheet5"/>
  <dimension ref="A1:L113"/>
  <sheetViews>
    <sheetView tabSelected="1" zoomScaleNormal="100" workbookViewId="0">
      <selection activeCell="B1" sqref="B1"/>
    </sheetView>
  </sheetViews>
  <sheetFormatPr defaultRowHeight="13.2" x14ac:dyDescent="0.2"/>
  <cols>
    <col min="1" max="1" width="2.77734375" style="37" customWidth="1"/>
    <col min="2" max="2" width="10.21875" style="37" customWidth="1"/>
    <col min="3" max="3" width="8.109375" customWidth="1"/>
    <col min="4" max="4" width="5" customWidth="1"/>
    <col min="5" max="5" width="1.44140625" customWidth="1"/>
    <col min="6" max="6" width="14" customWidth="1"/>
    <col min="7" max="7" width="10" customWidth="1"/>
    <col min="8" max="8" width="4.109375" customWidth="1"/>
    <col min="9" max="9" width="31.109375" customWidth="1"/>
  </cols>
  <sheetData>
    <row r="1" spans="1:11" ht="50.1" customHeight="1" x14ac:dyDescent="0.2">
      <c r="H1" s="66"/>
      <c r="I1" s="64"/>
    </row>
    <row r="2" spans="1:11" ht="28.5" customHeight="1" x14ac:dyDescent="0.2">
      <c r="A2" s="139" t="s">
        <v>99</v>
      </c>
      <c r="B2" s="139"/>
      <c r="C2" s="139"/>
      <c r="D2" s="139"/>
      <c r="E2" s="139"/>
      <c r="F2" s="139"/>
      <c r="G2" s="139"/>
      <c r="H2" s="139"/>
      <c r="I2" s="139"/>
      <c r="J2" s="65"/>
    </row>
    <row r="3" spans="1:11" ht="18.75" customHeight="1" x14ac:dyDescent="0.2">
      <c r="A3" s="65"/>
      <c r="B3" s="65"/>
      <c r="C3" s="65"/>
      <c r="D3" s="65"/>
      <c r="E3" s="65"/>
      <c r="F3" s="65"/>
      <c r="G3" s="65"/>
      <c r="H3" s="65"/>
      <c r="I3" s="140" t="str">
        <f>"ID:"&amp;共通情報!B3&amp;"  " &amp; 共通情報!D3 &amp; "  様"</f>
        <v>ID:006000000  ざく　ざく情報室以外使用禁止  様</v>
      </c>
      <c r="J3" s="140"/>
      <c r="K3" s="140"/>
    </row>
    <row r="4" spans="1:11" ht="19.5" customHeight="1" x14ac:dyDescent="0.2">
      <c r="A4" s="129" t="s">
        <v>70</v>
      </c>
      <c r="B4" s="129"/>
      <c r="C4" s="129"/>
      <c r="D4" s="70">
        <f>共通情報!B28</f>
        <v>0</v>
      </c>
      <c r="E4" s="69" t="s">
        <v>79</v>
      </c>
      <c r="F4" s="141">
        <f>共通情報!B29</f>
        <v>0</v>
      </c>
      <c r="G4" s="141"/>
      <c r="H4" s="141"/>
      <c r="I4" s="141"/>
      <c r="J4" s="141"/>
      <c r="K4" s="141"/>
    </row>
    <row r="5" spans="1:11" ht="18.75" customHeight="1" x14ac:dyDescent="0.2">
      <c r="A5" s="38"/>
      <c r="B5" s="38"/>
      <c r="C5" s="38"/>
      <c r="D5" s="60"/>
      <c r="E5" s="60"/>
      <c r="F5" s="60"/>
      <c r="G5" s="60"/>
      <c r="H5" s="60"/>
      <c r="I5" s="60"/>
      <c r="J5" s="60"/>
    </row>
    <row r="6" spans="1:11" ht="19.5" customHeight="1" x14ac:dyDescent="0.2">
      <c r="A6" s="129" t="str">
        <f>"２．麻酔の形式 ："</f>
        <v>２．麻酔の形式 ：</v>
      </c>
      <c r="B6" s="129"/>
      <c r="C6" s="129"/>
      <c r="D6" s="129">
        <f>共通情報!D30</f>
        <v>0</v>
      </c>
      <c r="E6" s="129"/>
      <c r="F6" s="129"/>
      <c r="G6" s="129"/>
      <c r="H6" s="129"/>
      <c r="I6" s="129"/>
      <c r="J6" s="67"/>
    </row>
    <row r="7" spans="1:11" ht="18.75" customHeight="1" x14ac:dyDescent="0.2">
      <c r="A7" s="38"/>
      <c r="B7" s="38"/>
      <c r="C7" s="38"/>
      <c r="D7" s="38"/>
      <c r="E7" s="38"/>
      <c r="F7" s="38"/>
      <c r="G7" s="38"/>
      <c r="H7" s="38"/>
      <c r="I7" s="38"/>
      <c r="J7" s="38"/>
    </row>
    <row r="8" spans="1:11" ht="19.5" customHeight="1" x14ac:dyDescent="0.2">
      <c r="A8" s="129" t="str">
        <f>"３．手術の説明　"</f>
        <v>３．手術の説明　</v>
      </c>
      <c r="B8" s="129"/>
      <c r="C8" s="129"/>
      <c r="D8" s="38"/>
      <c r="E8" s="38"/>
      <c r="F8" s="38"/>
      <c r="G8" s="38"/>
      <c r="H8" s="38"/>
      <c r="I8" s="38"/>
      <c r="J8" s="38"/>
    </row>
    <row r="9" spans="1:11" ht="18.75" customHeight="1" x14ac:dyDescent="0.2">
      <c r="A9"/>
      <c r="B9"/>
      <c r="C9" s="38"/>
      <c r="D9" s="38"/>
      <c r="E9" s="38"/>
      <c r="F9" s="38"/>
    </row>
    <row r="10" spans="1:11" ht="390" customHeight="1" x14ac:dyDescent="0.2">
      <c r="A10" s="38"/>
      <c r="B10" s="131">
        <f>IF(共通情報!D30="局所麻酔", 共通情報!B31 &amp; CHAR(10) &amp; 共通情報!B36, 共通情報!B31)</f>
        <v>0</v>
      </c>
      <c r="C10" s="131"/>
      <c r="D10" s="131"/>
      <c r="E10" s="131"/>
      <c r="F10" s="131"/>
      <c r="G10" s="131"/>
      <c r="H10" s="131"/>
      <c r="I10" s="131"/>
    </row>
    <row r="11" spans="1:11" s="39" customFormat="1" ht="19.5" customHeight="1" thickBot="1" x14ac:dyDescent="0.25">
      <c r="A11" s="39" t="s">
        <v>163</v>
      </c>
      <c r="C11" s="117"/>
      <c r="D11" s="117"/>
      <c r="E11" s="117"/>
      <c r="F11" s="117"/>
      <c r="G11" s="117"/>
      <c r="H11" s="117"/>
      <c r="I11" s="117"/>
      <c r="J11" s="117"/>
      <c r="K11" s="117"/>
    </row>
    <row r="12" spans="1:11" s="39" customFormat="1" ht="19.5" customHeight="1" x14ac:dyDescent="0.2">
      <c r="A12" s="118" t="s">
        <v>164</v>
      </c>
      <c r="B12" s="118"/>
      <c r="C12" s="119"/>
      <c r="D12" s="119"/>
      <c r="E12" s="119"/>
      <c r="F12" s="119"/>
      <c r="G12" s="119"/>
      <c r="H12" s="119"/>
      <c r="I12" s="119"/>
      <c r="J12" s="119"/>
      <c r="K12" s="119"/>
    </row>
    <row r="13" spans="1:11" s="39" customFormat="1" ht="19.5" customHeight="1" x14ac:dyDescent="0.2">
      <c r="C13" s="39" t="s">
        <v>165</v>
      </c>
      <c r="D13" s="117"/>
      <c r="E13" s="117"/>
      <c r="F13" s="117"/>
      <c r="G13" s="117"/>
      <c r="H13" s="117"/>
      <c r="I13" s="117"/>
      <c r="J13" s="117"/>
      <c r="K13" s="117"/>
    </row>
    <row r="14" spans="1:11" s="39" customFormat="1" ht="19.5" customHeight="1" x14ac:dyDescent="0.2">
      <c r="C14" s="39" t="s">
        <v>168</v>
      </c>
      <c r="D14" s="117"/>
      <c r="E14" s="117"/>
      <c r="F14" s="117"/>
      <c r="G14" s="117"/>
      <c r="H14" s="120" t="s">
        <v>169</v>
      </c>
      <c r="I14" s="132" t="s">
        <v>174</v>
      </c>
      <c r="J14" s="133"/>
      <c r="K14" s="134"/>
    </row>
    <row r="15" spans="1:11" s="39" customFormat="1" ht="19.5" customHeight="1" x14ac:dyDescent="0.2">
      <c r="C15" s="39" t="s">
        <v>166</v>
      </c>
      <c r="D15" s="117"/>
      <c r="E15" s="117"/>
      <c r="F15" s="117"/>
      <c r="G15" s="117"/>
      <c r="H15" s="117"/>
      <c r="I15" s="135"/>
      <c r="J15" s="136"/>
      <c r="K15" s="137"/>
    </row>
    <row r="16" spans="1:11" s="39" customFormat="1" ht="19.5" customHeight="1" x14ac:dyDescent="0.2">
      <c r="C16" s="39" t="s">
        <v>167</v>
      </c>
      <c r="D16" s="117"/>
      <c r="E16" s="117"/>
      <c r="F16" s="117"/>
      <c r="G16" s="117"/>
      <c r="H16" s="117"/>
      <c r="I16" s="117"/>
      <c r="J16" s="117"/>
      <c r="K16" s="117"/>
    </row>
    <row r="17" spans="1:12" s="43" customFormat="1" ht="9.9" customHeight="1" x14ac:dyDescent="0.2"/>
    <row r="18" spans="1:12" s="43" customFormat="1" ht="19.5" customHeight="1" x14ac:dyDescent="0.2">
      <c r="A18" s="45" t="s">
        <v>72</v>
      </c>
      <c r="B18" s="45"/>
      <c r="C18" s="138" t="str">
        <f>共通情報!C8</f>
        <v>2014年06月26日</v>
      </c>
      <c r="D18" s="138"/>
      <c r="E18" s="138"/>
      <c r="F18" s="138"/>
      <c r="G18" s="113"/>
      <c r="I18" s="45" t="str">
        <f>IF(共通情報!G27="",共通情報!H28,共通情報!H27)</f>
        <v>手術日　　　　　　年　　　　月　　　　日</v>
      </c>
      <c r="J18" s="45"/>
      <c r="K18" s="45"/>
    </row>
    <row r="19" spans="1:12" s="43" customFormat="1" ht="18.75" customHeight="1" x14ac:dyDescent="0.2"/>
    <row r="20" spans="1:12" s="43" customFormat="1" ht="19.5" customHeight="1" x14ac:dyDescent="0.2">
      <c r="A20" s="45" t="s">
        <v>73</v>
      </c>
      <c r="B20" s="45"/>
      <c r="C20" s="122">
        <f>共通情報!B27</f>
        <v>0</v>
      </c>
      <c r="D20" s="122"/>
      <c r="E20" s="122"/>
      <c r="F20" s="122"/>
      <c r="G20" s="114" t="s">
        <v>82</v>
      </c>
      <c r="I20" s="45" t="s">
        <v>74</v>
      </c>
      <c r="J20" s="45"/>
      <c r="K20" s="45"/>
    </row>
    <row r="21" spans="1:12" s="43" customFormat="1" ht="18.75" customHeight="1" x14ac:dyDescent="0.2"/>
    <row r="22" spans="1:12" s="43" customFormat="1" ht="19.5" customHeight="1" x14ac:dyDescent="0.2">
      <c r="A22" s="47" t="s">
        <v>77</v>
      </c>
      <c r="B22" s="47"/>
      <c r="C22" s="47"/>
    </row>
    <row r="23" spans="1:12" s="43" customFormat="1" ht="19.5" customHeight="1" x14ac:dyDescent="0.2">
      <c r="C23" s="124" t="s">
        <v>81</v>
      </c>
      <c r="D23" s="124"/>
      <c r="E23" s="124"/>
      <c r="F23" s="124"/>
      <c r="G23" s="124"/>
    </row>
    <row r="24" spans="1:12" s="43" customFormat="1" ht="18.75" customHeight="1" thickBot="1" x14ac:dyDescent="0.25"/>
    <row r="25" spans="1:12" s="43" customFormat="1" ht="39.9" customHeight="1" thickBot="1" x14ac:dyDescent="0.25">
      <c r="A25" s="125" t="s">
        <v>162</v>
      </c>
      <c r="B25" s="126"/>
      <c r="C25" s="126"/>
      <c r="D25" s="126"/>
      <c r="E25" s="126"/>
      <c r="F25" s="126"/>
      <c r="G25" s="126"/>
      <c r="H25" s="127" t="s">
        <v>170</v>
      </c>
      <c r="I25" s="127"/>
      <c r="J25" s="127"/>
      <c r="K25" s="128"/>
      <c r="L25" s="112"/>
    </row>
    <row r="26" spans="1:12" s="43" customFormat="1" ht="18.75" customHeight="1" x14ac:dyDescent="0.2"/>
    <row r="27" spans="1:12" s="43" customFormat="1" ht="19.5" customHeight="1" x14ac:dyDescent="0.2">
      <c r="A27" s="45" t="s">
        <v>76</v>
      </c>
      <c r="B27" s="45"/>
      <c r="C27" s="45"/>
      <c r="D27" s="45"/>
      <c r="E27" s="45"/>
      <c r="F27" s="115"/>
      <c r="G27" s="115"/>
      <c r="J27" s="116"/>
      <c r="K27" s="116"/>
    </row>
    <row r="28" spans="1:12" ht="9.9" customHeight="1" x14ac:dyDescent="0.2">
      <c r="H28" s="66"/>
      <c r="I28" s="64"/>
      <c r="J28" s="38"/>
      <c r="K28" s="38"/>
    </row>
    <row r="29" spans="1:12" ht="33" customHeight="1" x14ac:dyDescent="0.2">
      <c r="A29" s="139" t="s">
        <v>100</v>
      </c>
      <c r="B29" s="139"/>
      <c r="C29" s="139"/>
      <c r="D29" s="139"/>
      <c r="E29" s="139"/>
      <c r="F29" s="139"/>
      <c r="G29" s="139"/>
      <c r="H29" s="139"/>
      <c r="I29" s="139"/>
      <c r="J29" s="38"/>
      <c r="K29" s="38"/>
    </row>
    <row r="30" spans="1:12" ht="19.5" customHeight="1" x14ac:dyDescent="0.2">
      <c r="A30" s="65"/>
      <c r="B30" s="65"/>
      <c r="C30" s="65"/>
      <c r="D30" s="65"/>
      <c r="E30" s="65"/>
      <c r="F30" s="65"/>
      <c r="G30" s="65"/>
      <c r="H30" s="65"/>
      <c r="I30" s="140" t="str">
        <f>I3</f>
        <v>ID:006000000  ざく　ざく情報室以外使用禁止  様</v>
      </c>
      <c r="J30" s="140"/>
      <c r="K30" s="140"/>
    </row>
    <row r="31" spans="1:12" ht="19.5" customHeight="1" x14ac:dyDescent="0.2">
      <c r="A31" s="129" t="s">
        <v>70</v>
      </c>
      <c r="B31" s="129"/>
      <c r="C31" s="129"/>
      <c r="D31" s="70">
        <f>D4</f>
        <v>0</v>
      </c>
      <c r="E31" s="69" t="s">
        <v>80</v>
      </c>
      <c r="F31" s="141">
        <f>F4</f>
        <v>0</v>
      </c>
      <c r="G31" s="141"/>
      <c r="H31" s="141"/>
      <c r="I31" s="141"/>
      <c r="J31" s="141"/>
      <c r="K31" s="141"/>
    </row>
    <row r="32" spans="1:12" ht="19.5" customHeight="1" x14ac:dyDescent="0.2">
      <c r="A32" s="38"/>
      <c r="B32" s="38"/>
      <c r="C32" s="38"/>
      <c r="D32" s="60"/>
      <c r="E32" s="60"/>
      <c r="F32" s="60"/>
      <c r="G32" s="60"/>
      <c r="H32" s="60"/>
      <c r="I32" s="60"/>
    </row>
    <row r="33" spans="1:11" ht="19.5" customHeight="1" x14ac:dyDescent="0.2">
      <c r="A33" s="129" t="str">
        <f>"２．麻酔の形式 ："</f>
        <v>２．麻酔の形式 ：</v>
      </c>
      <c r="B33" s="129"/>
      <c r="C33" s="129"/>
      <c r="D33" s="130">
        <f>D6</f>
        <v>0</v>
      </c>
      <c r="E33" s="130"/>
      <c r="F33" s="130"/>
      <c r="G33" s="130"/>
      <c r="H33" s="130"/>
      <c r="I33" s="130"/>
      <c r="J33" s="130"/>
      <c r="K33" s="130"/>
    </row>
    <row r="34" spans="1:11" ht="19.5" customHeight="1" x14ac:dyDescent="0.2">
      <c r="A34" s="38"/>
      <c r="B34" s="38"/>
      <c r="C34" s="38"/>
      <c r="D34" s="38"/>
      <c r="E34" s="38"/>
      <c r="F34" s="38"/>
      <c r="G34" s="38"/>
      <c r="H34" s="38"/>
      <c r="I34" s="38"/>
    </row>
    <row r="35" spans="1:11" ht="19.5" customHeight="1" x14ac:dyDescent="0.2">
      <c r="A35" s="129" t="str">
        <f>"３．手術の説明　"</f>
        <v>３．手術の説明　</v>
      </c>
      <c r="B35" s="129"/>
      <c r="C35" s="129"/>
      <c r="D35" s="38"/>
      <c r="E35" s="38"/>
      <c r="F35" s="38"/>
      <c r="G35" s="38"/>
      <c r="H35" s="38"/>
      <c r="I35" s="38"/>
    </row>
    <row r="36" spans="1:11" ht="19.5" customHeight="1" x14ac:dyDescent="0.2">
      <c r="A36"/>
      <c r="B36"/>
      <c r="C36" s="38"/>
      <c r="D36" s="38"/>
      <c r="E36" s="38"/>
      <c r="F36" s="38"/>
    </row>
    <row r="37" spans="1:11" ht="390" customHeight="1" x14ac:dyDescent="0.2">
      <c r="A37" s="38"/>
      <c r="B37" s="131">
        <f>B10</f>
        <v>0</v>
      </c>
      <c r="C37" s="131"/>
      <c r="D37" s="131"/>
      <c r="E37" s="131"/>
      <c r="F37" s="131"/>
      <c r="G37" s="131"/>
      <c r="H37" s="131"/>
      <c r="I37" s="131"/>
    </row>
    <row r="38" spans="1:11" s="39" customFormat="1" ht="19.5" customHeight="1" thickBot="1" x14ac:dyDescent="0.25">
      <c r="A38" s="39" t="s">
        <v>163</v>
      </c>
      <c r="C38" s="117"/>
      <c r="D38" s="117"/>
      <c r="E38" s="117"/>
      <c r="F38" s="117"/>
      <c r="G38" s="117"/>
      <c r="H38" s="117"/>
      <c r="I38" s="117"/>
      <c r="J38" s="117"/>
      <c r="K38" s="117"/>
    </row>
    <row r="39" spans="1:11" s="39" customFormat="1" ht="19.5" customHeight="1" x14ac:dyDescent="0.2">
      <c r="A39" s="118" t="s">
        <v>164</v>
      </c>
      <c r="B39" s="118"/>
      <c r="C39" s="119"/>
      <c r="D39" s="119"/>
      <c r="E39" s="119"/>
      <c r="F39" s="119"/>
      <c r="G39" s="119"/>
      <c r="H39" s="119"/>
      <c r="I39" s="119"/>
      <c r="J39" s="119"/>
      <c r="K39" s="119"/>
    </row>
    <row r="40" spans="1:11" s="39" customFormat="1" ht="19.5" customHeight="1" x14ac:dyDescent="0.2">
      <c r="C40" s="39" t="s">
        <v>171</v>
      </c>
      <c r="D40" s="117"/>
      <c r="E40" s="117"/>
      <c r="F40" s="117"/>
      <c r="G40" s="117"/>
      <c r="H40" s="117"/>
      <c r="I40" s="117"/>
      <c r="J40" s="117"/>
      <c r="K40" s="117"/>
    </row>
    <row r="41" spans="1:11" s="39" customFormat="1" ht="19.5" customHeight="1" x14ac:dyDescent="0.2">
      <c r="C41" s="39" t="s">
        <v>168</v>
      </c>
      <c r="D41" s="117"/>
      <c r="E41" s="117"/>
      <c r="F41" s="117"/>
      <c r="G41" s="117"/>
      <c r="H41" s="120" t="s">
        <v>169</v>
      </c>
      <c r="I41" s="132" t="s">
        <v>174</v>
      </c>
      <c r="J41" s="133"/>
      <c r="K41" s="134"/>
    </row>
    <row r="42" spans="1:11" s="39" customFormat="1" ht="19.5" customHeight="1" x14ac:dyDescent="0.2">
      <c r="C42" s="39" t="s">
        <v>166</v>
      </c>
      <c r="D42" s="117"/>
      <c r="E42" s="117"/>
      <c r="F42" s="117"/>
      <c r="G42" s="117"/>
      <c r="H42" s="117"/>
      <c r="I42" s="135"/>
      <c r="J42" s="136"/>
      <c r="K42" s="137"/>
    </row>
    <row r="43" spans="1:11" s="39" customFormat="1" ht="19.5" customHeight="1" x14ac:dyDescent="0.2">
      <c r="C43" s="39" t="s">
        <v>167</v>
      </c>
      <c r="D43" s="117"/>
      <c r="E43" s="117"/>
      <c r="F43" s="117"/>
      <c r="G43" s="117"/>
      <c r="H43" s="117"/>
      <c r="I43" s="117"/>
      <c r="J43" s="117"/>
      <c r="K43" s="117"/>
    </row>
    <row r="44" spans="1:11" s="43" customFormat="1" ht="9.9" customHeight="1" x14ac:dyDescent="0.2"/>
    <row r="45" spans="1:11" s="43" customFormat="1" ht="19.5" customHeight="1" x14ac:dyDescent="0.2">
      <c r="A45" s="45" t="s">
        <v>72</v>
      </c>
      <c r="B45" s="45"/>
      <c r="C45" s="138" t="str">
        <f>C18</f>
        <v>2014年06月26日</v>
      </c>
      <c r="D45" s="138"/>
      <c r="E45" s="138"/>
      <c r="F45" s="138"/>
      <c r="G45" s="113"/>
      <c r="I45" s="45" t="str">
        <f>I18</f>
        <v>手術日　　　　　　年　　　　月　　　　日</v>
      </c>
      <c r="J45" s="45"/>
      <c r="K45" s="45"/>
    </row>
    <row r="46" spans="1:11" s="43" customFormat="1" ht="18.75" customHeight="1" x14ac:dyDescent="0.2"/>
    <row r="47" spans="1:11" s="43" customFormat="1" ht="19.5" customHeight="1" x14ac:dyDescent="0.2">
      <c r="A47" s="45" t="s">
        <v>73</v>
      </c>
      <c r="B47" s="45"/>
      <c r="C47" s="122">
        <f>C20</f>
        <v>0</v>
      </c>
      <c r="D47" s="123"/>
      <c r="E47" s="123"/>
      <c r="F47" s="123"/>
      <c r="G47" s="114" t="s">
        <v>82</v>
      </c>
      <c r="I47" s="45" t="s">
        <v>74</v>
      </c>
      <c r="J47" s="45"/>
      <c r="K47" s="45"/>
    </row>
    <row r="48" spans="1:11" s="43" customFormat="1" ht="18.75" customHeight="1" x14ac:dyDescent="0.2"/>
    <row r="49" spans="1:12" s="43" customFormat="1" ht="19.5" customHeight="1" x14ac:dyDescent="0.2">
      <c r="A49" s="47" t="s">
        <v>77</v>
      </c>
      <c r="B49" s="47"/>
      <c r="C49" s="47"/>
    </row>
    <row r="50" spans="1:12" s="43" customFormat="1" ht="19.5" customHeight="1" x14ac:dyDescent="0.2">
      <c r="C50" s="124" t="s">
        <v>81</v>
      </c>
      <c r="D50" s="124"/>
      <c r="E50" s="124"/>
      <c r="F50" s="124"/>
      <c r="G50" s="124"/>
    </row>
    <row r="51" spans="1:12" s="43" customFormat="1" ht="18.75" customHeight="1" thickBot="1" x14ac:dyDescent="0.25"/>
    <row r="52" spans="1:12" s="43" customFormat="1" ht="39.9" customHeight="1" thickBot="1" x14ac:dyDescent="0.25">
      <c r="A52" s="125" t="s">
        <v>162</v>
      </c>
      <c r="B52" s="126"/>
      <c r="C52" s="126"/>
      <c r="D52" s="126"/>
      <c r="E52" s="126"/>
      <c r="F52" s="126"/>
      <c r="G52" s="126"/>
      <c r="H52" s="127" t="s">
        <v>170</v>
      </c>
      <c r="I52" s="127"/>
      <c r="J52" s="127"/>
      <c r="K52" s="128"/>
      <c r="L52" s="112"/>
    </row>
    <row r="53" spans="1:12" s="43" customFormat="1" ht="18.75" customHeight="1" x14ac:dyDescent="0.2"/>
    <row r="54" spans="1:12" s="43" customFormat="1" ht="19.5" customHeight="1" x14ac:dyDescent="0.2">
      <c r="A54" s="45" t="s">
        <v>76</v>
      </c>
      <c r="B54" s="45"/>
      <c r="C54" s="45"/>
      <c r="D54" s="45"/>
      <c r="E54" s="45"/>
      <c r="F54" s="115"/>
      <c r="G54" s="115"/>
      <c r="J54" s="116"/>
      <c r="K54" s="116"/>
    </row>
    <row r="55" spans="1:12" ht="9.9" customHeight="1" x14ac:dyDescent="0.2">
      <c r="H55" s="66"/>
      <c r="I55" s="64"/>
      <c r="J55" s="38"/>
      <c r="K55" s="38"/>
    </row>
    <row r="56" spans="1:12" ht="19.5" customHeight="1" x14ac:dyDescent="0.2">
      <c r="A56" s="38"/>
      <c r="B56" s="38"/>
      <c r="C56" s="44"/>
      <c r="D56" s="44"/>
      <c r="E56" s="44"/>
      <c r="F56" s="44"/>
      <c r="G56" s="44"/>
      <c r="H56" s="44"/>
      <c r="I56" s="44"/>
    </row>
    <row r="57" spans="1:12" ht="19.5" customHeight="1" x14ac:dyDescent="0.2">
      <c r="A57" s="38"/>
      <c r="B57" s="38"/>
      <c r="C57" s="44"/>
      <c r="D57" s="44"/>
      <c r="E57" s="44"/>
      <c r="F57" s="44"/>
      <c r="G57" s="44"/>
      <c r="H57" s="44"/>
      <c r="I57" s="44"/>
    </row>
    <row r="58" spans="1:12" ht="19.5" customHeight="1" x14ac:dyDescent="0.2">
      <c r="A58" s="38"/>
      <c r="B58" s="38"/>
      <c r="C58" s="44"/>
      <c r="D58" s="44"/>
      <c r="E58" s="44"/>
      <c r="F58" s="44"/>
      <c r="G58" s="44"/>
      <c r="H58" s="44"/>
      <c r="I58" s="44"/>
    </row>
    <row r="59" spans="1:12" ht="19.5" customHeight="1" x14ac:dyDescent="0.2">
      <c r="A59" s="38"/>
      <c r="B59" s="38"/>
      <c r="C59" s="44"/>
      <c r="D59" s="44"/>
      <c r="E59" s="44"/>
      <c r="F59" s="44"/>
      <c r="G59" s="44"/>
      <c r="H59" s="44"/>
      <c r="I59" s="44"/>
    </row>
    <row r="60" spans="1:12" ht="19.5" customHeight="1" x14ac:dyDescent="0.2">
      <c r="A60" s="38"/>
      <c r="B60" s="38"/>
      <c r="C60" s="44"/>
      <c r="D60" s="44"/>
      <c r="E60" s="44"/>
      <c r="F60" s="44"/>
      <c r="G60" s="44"/>
      <c r="H60" s="44"/>
      <c r="I60" s="44"/>
    </row>
    <row r="61" spans="1:12" ht="19.5" customHeight="1" x14ac:dyDescent="0.2">
      <c r="A61" s="38"/>
      <c r="B61" s="38"/>
      <c r="C61" s="44"/>
      <c r="D61" s="44"/>
      <c r="E61" s="44"/>
      <c r="F61" s="44"/>
      <c r="G61" s="44"/>
      <c r="H61" s="44"/>
      <c r="I61" s="44"/>
    </row>
    <row r="62" spans="1:12" ht="19.5" customHeight="1" x14ac:dyDescent="0.2">
      <c r="A62" s="38"/>
      <c r="B62" s="38"/>
      <c r="C62" s="44"/>
      <c r="D62" s="44"/>
      <c r="E62" s="44"/>
      <c r="F62" s="44"/>
      <c r="G62" s="44"/>
      <c r="H62" s="44"/>
      <c r="I62" s="44"/>
    </row>
    <row r="63" spans="1:12" ht="19.5" customHeight="1" x14ac:dyDescent="0.2">
      <c r="A63" s="38"/>
      <c r="B63" s="38"/>
      <c r="C63" s="44"/>
      <c r="D63" s="44"/>
      <c r="E63" s="44"/>
      <c r="F63" s="44"/>
      <c r="G63" s="44"/>
      <c r="H63" s="44"/>
      <c r="I63" s="44"/>
    </row>
    <row r="64" spans="1:12" ht="19.5" customHeight="1" x14ac:dyDescent="0.2">
      <c r="A64" s="38"/>
      <c r="B64" s="38"/>
      <c r="C64" s="44"/>
      <c r="D64" s="44"/>
      <c r="E64" s="44"/>
      <c r="F64" s="44"/>
      <c r="G64" s="44"/>
      <c r="H64" s="44"/>
      <c r="I64" s="44"/>
    </row>
    <row r="65" spans="1:9" ht="19.5" customHeight="1" x14ac:dyDescent="0.2">
      <c r="A65" s="38"/>
      <c r="B65" s="38"/>
      <c r="C65" s="44"/>
      <c r="D65" s="44"/>
      <c r="E65" s="44"/>
      <c r="F65" s="44"/>
      <c r="G65" s="44"/>
      <c r="H65" s="44"/>
      <c r="I65" s="44"/>
    </row>
    <row r="66" spans="1:9" ht="19.5" customHeight="1" x14ac:dyDescent="0.2">
      <c r="A66" s="38"/>
      <c r="B66" s="38"/>
      <c r="C66" s="44"/>
      <c r="D66" s="44"/>
      <c r="E66" s="44"/>
      <c r="F66" s="44"/>
      <c r="G66" s="44"/>
      <c r="H66" s="44"/>
      <c r="I66" s="44"/>
    </row>
    <row r="67" spans="1:9" ht="19.5" customHeight="1" x14ac:dyDescent="0.2">
      <c r="A67"/>
      <c r="B67"/>
      <c r="C67" s="44"/>
      <c r="D67" s="44"/>
      <c r="E67" s="44"/>
      <c r="F67" s="44"/>
      <c r="G67" s="44"/>
      <c r="H67" s="44"/>
      <c r="I67" s="44"/>
    </row>
    <row r="68" spans="1:9" ht="19.5" customHeight="1" x14ac:dyDescent="0.2">
      <c r="A68"/>
      <c r="B68"/>
      <c r="C68" s="44"/>
      <c r="D68" s="44"/>
      <c r="E68" s="44"/>
      <c r="F68" s="44"/>
      <c r="G68" s="44"/>
      <c r="H68" s="44"/>
      <c r="I68" s="44"/>
    </row>
    <row r="69" spans="1:9" ht="19.5" customHeight="1" x14ac:dyDescent="0.2">
      <c r="A69"/>
      <c r="B69"/>
      <c r="C69" s="44"/>
      <c r="D69" s="44"/>
      <c r="E69" s="44"/>
      <c r="F69" s="44"/>
      <c r="G69" s="44"/>
      <c r="H69" s="44"/>
      <c r="I69" s="44"/>
    </row>
    <row r="70" spans="1:9" ht="19.5" customHeight="1" x14ac:dyDescent="0.2">
      <c r="A70"/>
      <c r="B70"/>
      <c r="C70" s="44"/>
      <c r="D70" s="44"/>
      <c r="E70" s="44"/>
      <c r="F70" s="44"/>
      <c r="G70" s="44"/>
      <c r="H70" s="44"/>
      <c r="I70" s="44"/>
    </row>
    <row r="71" spans="1:9" ht="19.5" customHeight="1" x14ac:dyDescent="0.2">
      <c r="A71"/>
      <c r="B71"/>
      <c r="C71" s="44"/>
      <c r="D71" s="44"/>
      <c r="E71" s="44"/>
      <c r="F71" s="44"/>
      <c r="G71" s="44"/>
      <c r="H71" s="44"/>
      <c r="I71" s="44"/>
    </row>
    <row r="72" spans="1:9" ht="19.5" customHeight="1" x14ac:dyDescent="0.2">
      <c r="A72"/>
      <c r="B72"/>
      <c r="C72" s="44"/>
      <c r="D72" s="44"/>
      <c r="E72" s="44"/>
      <c r="F72" s="44"/>
      <c r="G72" s="44"/>
      <c r="H72" s="44"/>
      <c r="I72" s="44"/>
    </row>
    <row r="73" spans="1:9" ht="19.5" customHeight="1" x14ac:dyDescent="0.2">
      <c r="A73"/>
      <c r="B73"/>
      <c r="C73" s="44"/>
      <c r="D73" s="44"/>
      <c r="E73" s="44"/>
      <c r="F73" s="44"/>
      <c r="G73" s="44"/>
      <c r="H73" s="44"/>
      <c r="I73" s="44"/>
    </row>
    <row r="74" spans="1:9" ht="19.5" customHeight="1" x14ac:dyDescent="0.2">
      <c r="A74"/>
      <c r="B74"/>
      <c r="C74" s="44"/>
      <c r="D74" s="44"/>
      <c r="E74" s="44"/>
      <c r="F74" s="44"/>
      <c r="G74" s="44"/>
      <c r="H74" s="44"/>
      <c r="I74" s="44"/>
    </row>
    <row r="75" spans="1:9" ht="19.5" customHeight="1" x14ac:dyDescent="0.2">
      <c r="A75"/>
      <c r="B75"/>
      <c r="C75" s="44"/>
      <c r="D75" s="44"/>
      <c r="E75" s="44"/>
      <c r="F75" s="44"/>
      <c r="G75" s="44"/>
      <c r="H75" s="44"/>
      <c r="I75" s="44"/>
    </row>
    <row r="76" spans="1:9" ht="19.5" customHeight="1" x14ac:dyDescent="0.2">
      <c r="A76"/>
      <c r="B76"/>
      <c r="C76" s="44"/>
      <c r="D76" s="44"/>
      <c r="E76" s="44"/>
      <c r="F76" s="44"/>
      <c r="G76" s="44"/>
      <c r="H76" s="44"/>
      <c r="I76" s="44"/>
    </row>
    <row r="77" spans="1:9" ht="19.5" customHeight="1" x14ac:dyDescent="0.2">
      <c r="A77"/>
      <c r="B77"/>
      <c r="C77" s="44"/>
      <c r="D77" s="44"/>
      <c r="E77" s="44"/>
      <c r="F77" s="44"/>
      <c r="G77" s="44"/>
      <c r="H77" s="44"/>
      <c r="I77" s="44"/>
    </row>
    <row r="78" spans="1:9" ht="19.5" customHeight="1" x14ac:dyDescent="0.2">
      <c r="A78"/>
      <c r="B78"/>
      <c r="C78" s="44"/>
      <c r="D78" s="44"/>
      <c r="E78" s="44"/>
      <c r="F78" s="44"/>
      <c r="G78" s="44"/>
      <c r="H78" s="44"/>
      <c r="I78" s="44"/>
    </row>
    <row r="79" spans="1:9" ht="19.5" customHeight="1" x14ac:dyDescent="0.2">
      <c r="A79"/>
      <c r="B79"/>
      <c r="C79" s="44"/>
      <c r="D79" s="44"/>
      <c r="E79" s="44"/>
      <c r="F79" s="44"/>
      <c r="G79" s="44"/>
      <c r="H79" s="44"/>
      <c r="I79" s="44"/>
    </row>
    <row r="80" spans="1:9" ht="19.5" customHeight="1" x14ac:dyDescent="0.2">
      <c r="A80"/>
      <c r="B80"/>
      <c r="C80" s="44"/>
      <c r="D80" s="44"/>
      <c r="E80" s="44"/>
      <c r="F80" s="44"/>
      <c r="G80" s="44"/>
      <c r="H80" s="44"/>
      <c r="I80" s="44"/>
    </row>
    <row r="81" spans="1:2" x14ac:dyDescent="0.2">
      <c r="A81"/>
      <c r="B81"/>
    </row>
    <row r="82" spans="1:2" x14ac:dyDescent="0.2">
      <c r="A82"/>
      <c r="B82"/>
    </row>
    <row r="83" spans="1:2" x14ac:dyDescent="0.2">
      <c r="A83"/>
      <c r="B83"/>
    </row>
    <row r="84" spans="1:2" x14ac:dyDescent="0.2">
      <c r="A84"/>
      <c r="B84"/>
    </row>
    <row r="85" spans="1:2" x14ac:dyDescent="0.2">
      <c r="A85"/>
      <c r="B85"/>
    </row>
    <row r="86" spans="1:2" x14ac:dyDescent="0.2">
      <c r="A86"/>
      <c r="B86"/>
    </row>
    <row r="87" spans="1:2" x14ac:dyDescent="0.2">
      <c r="A87"/>
      <c r="B87"/>
    </row>
    <row r="88" spans="1:2" x14ac:dyDescent="0.2">
      <c r="A88"/>
      <c r="B88"/>
    </row>
    <row r="89" spans="1:2" x14ac:dyDescent="0.2">
      <c r="A89"/>
      <c r="B89"/>
    </row>
    <row r="90" spans="1:2" x14ac:dyDescent="0.2">
      <c r="A90"/>
      <c r="B90"/>
    </row>
    <row r="91" spans="1:2" x14ac:dyDescent="0.2">
      <c r="A91"/>
      <c r="B91"/>
    </row>
    <row r="92" spans="1:2" x14ac:dyDescent="0.2">
      <c r="A92"/>
      <c r="B92"/>
    </row>
    <row r="93" spans="1:2" x14ac:dyDescent="0.2">
      <c r="A93"/>
      <c r="B93"/>
    </row>
    <row r="94" spans="1:2" x14ac:dyDescent="0.2">
      <c r="A94"/>
      <c r="B94"/>
    </row>
    <row r="95" spans="1:2" x14ac:dyDescent="0.2">
      <c r="A95"/>
      <c r="B95"/>
    </row>
    <row r="96" spans="1:2" x14ac:dyDescent="0.2">
      <c r="A96"/>
      <c r="B96"/>
    </row>
    <row r="97" spans="1:2" x14ac:dyDescent="0.2">
      <c r="A97"/>
      <c r="B97"/>
    </row>
    <row r="98" spans="1:2" x14ac:dyDescent="0.2">
      <c r="A98"/>
      <c r="B98"/>
    </row>
    <row r="99" spans="1:2" x14ac:dyDescent="0.2">
      <c r="A99"/>
      <c r="B99"/>
    </row>
    <row r="100" spans="1:2" x14ac:dyDescent="0.2">
      <c r="A100"/>
      <c r="B100"/>
    </row>
    <row r="101" spans="1:2" x14ac:dyDescent="0.2">
      <c r="A101"/>
      <c r="B101"/>
    </row>
    <row r="102" spans="1:2" x14ac:dyDescent="0.2">
      <c r="A102"/>
      <c r="B102"/>
    </row>
    <row r="103" spans="1:2" x14ac:dyDescent="0.2">
      <c r="A103"/>
      <c r="B103"/>
    </row>
    <row r="104" spans="1:2" x14ac:dyDescent="0.2">
      <c r="A104"/>
      <c r="B104"/>
    </row>
    <row r="105" spans="1:2" x14ac:dyDescent="0.2">
      <c r="A105"/>
      <c r="B105"/>
    </row>
    <row r="106" spans="1:2" x14ac:dyDescent="0.2">
      <c r="A106"/>
      <c r="B106"/>
    </row>
    <row r="107" spans="1:2" x14ac:dyDescent="0.2">
      <c r="A107"/>
      <c r="B107"/>
    </row>
    <row r="108" spans="1:2" x14ac:dyDescent="0.2">
      <c r="A108"/>
      <c r="B108"/>
    </row>
    <row r="109" spans="1:2" x14ac:dyDescent="0.2">
      <c r="A109"/>
      <c r="B109"/>
    </row>
    <row r="110" spans="1:2" x14ac:dyDescent="0.2">
      <c r="A110"/>
      <c r="B110"/>
    </row>
    <row r="111" spans="1:2" x14ac:dyDescent="0.2">
      <c r="A111"/>
      <c r="B111"/>
    </row>
    <row r="112" spans="1:2" x14ac:dyDescent="0.2">
      <c r="A112"/>
      <c r="B112"/>
    </row>
    <row r="113" spans="1:2" x14ac:dyDescent="0.2">
      <c r="A113"/>
      <c r="B113"/>
    </row>
  </sheetData>
  <mergeCells count="28">
    <mergeCell ref="C23:G23"/>
    <mergeCell ref="A2:I2"/>
    <mergeCell ref="I3:K3"/>
    <mergeCell ref="A4:C4"/>
    <mergeCell ref="F4:K4"/>
    <mergeCell ref="A6:C6"/>
    <mergeCell ref="D6:I6"/>
    <mergeCell ref="A8:C8"/>
    <mergeCell ref="B10:I10"/>
    <mergeCell ref="I14:K15"/>
    <mergeCell ref="C18:F18"/>
    <mergeCell ref="C20:F20"/>
    <mergeCell ref="A25:G25"/>
    <mergeCell ref="H25:K25"/>
    <mergeCell ref="A29:I29"/>
    <mergeCell ref="I30:K30"/>
    <mergeCell ref="A31:C31"/>
    <mergeCell ref="F31:K31"/>
    <mergeCell ref="C47:F47"/>
    <mergeCell ref="C50:G50"/>
    <mergeCell ref="A52:G52"/>
    <mergeCell ref="H52:K52"/>
    <mergeCell ref="A33:C33"/>
    <mergeCell ref="D33:K33"/>
    <mergeCell ref="A35:C35"/>
    <mergeCell ref="B37:I37"/>
    <mergeCell ref="I41:K42"/>
    <mergeCell ref="C45:F45"/>
  </mergeCells>
  <phoneticPr fontId="3"/>
  <pageMargins left="0.19685039370078741" right="0.19685039370078741" top="0.19685039370078741" bottom="0.19685039370078741" header="0.51181102362204722" footer="0.51181102362204722"/>
  <pageSetup paperSize="9" scale="94" orientation="portrait" horizontalDpi="300" r:id="rId1"/>
  <headerFooter alignWithMargins="0"/>
  <rowBreaks count="1" manualBreakCount="1">
    <brk id="28" max="10" man="1"/>
  </rowBreaks>
  <drawing r:id="rId2"/>
  <legacyDrawing r:id="rId3"/>
  <controls>
    <mc:AlternateContent xmlns:mc="http://schemas.openxmlformats.org/markup-compatibility/2006">
      <mc:Choice Requires="x14">
        <control shapeId="20481" r:id="rId4" name="CommandButton2">
          <controlPr defaultSize="0" autoLine="0" autoPict="0" r:id="rId5">
            <anchor moveWithCells="1">
              <from>
                <xdr:col>13</xdr:col>
                <xdr:colOff>213360</xdr:colOff>
                <xdr:row>2</xdr:row>
                <xdr:rowOff>160020</xdr:rowOff>
              </from>
              <to>
                <xdr:col>14</xdr:col>
                <xdr:colOff>533400</xdr:colOff>
                <xdr:row>4</xdr:row>
                <xdr:rowOff>38100</xdr:rowOff>
              </to>
            </anchor>
          </controlPr>
        </control>
      </mc:Choice>
      <mc:Fallback>
        <control shapeId="20481" r:id="rId4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AB29AB-1259-4FA9-9176-54F36FFFDB02}">
  <sheetPr codeName="Sheet4"/>
  <dimension ref="A1:L113"/>
  <sheetViews>
    <sheetView zoomScaleNormal="100" workbookViewId="0">
      <selection activeCell="N6" sqref="N6"/>
    </sheetView>
  </sheetViews>
  <sheetFormatPr defaultRowHeight="13.2" x14ac:dyDescent="0.2"/>
  <cols>
    <col min="1" max="1" width="2.77734375" style="37" customWidth="1"/>
    <col min="2" max="2" width="10.21875" style="37" customWidth="1"/>
    <col min="3" max="3" width="8.109375" customWidth="1"/>
    <col min="4" max="4" width="5" customWidth="1"/>
    <col min="5" max="5" width="1.44140625" customWidth="1"/>
    <col min="6" max="6" width="14" customWidth="1"/>
    <col min="7" max="7" width="10" customWidth="1"/>
    <col min="8" max="8" width="4.109375" customWidth="1"/>
    <col min="9" max="9" width="31.109375" customWidth="1"/>
  </cols>
  <sheetData>
    <row r="1" spans="1:11" ht="50.1" customHeight="1" x14ac:dyDescent="0.2">
      <c r="H1" s="66"/>
      <c r="I1" s="64"/>
    </row>
    <row r="2" spans="1:11" ht="28.5" customHeight="1" x14ac:dyDescent="0.2">
      <c r="A2" s="139" t="s">
        <v>99</v>
      </c>
      <c r="B2" s="139"/>
      <c r="C2" s="139"/>
      <c r="D2" s="139"/>
      <c r="E2" s="139"/>
      <c r="F2" s="139"/>
      <c r="G2" s="139"/>
      <c r="H2" s="139"/>
      <c r="I2" s="139"/>
      <c r="J2" s="65"/>
    </row>
    <row r="3" spans="1:11" ht="18.75" customHeight="1" x14ac:dyDescent="0.2">
      <c r="A3" s="65"/>
      <c r="B3" s="65"/>
      <c r="C3" s="65"/>
      <c r="D3" s="65"/>
      <c r="E3" s="65"/>
      <c r="F3" s="65"/>
      <c r="G3" s="65"/>
      <c r="H3" s="65"/>
      <c r="I3" s="140" t="str">
        <f>"ID:"&amp;共通情報!B3&amp;"  " &amp; 共通情報!D3 &amp; "  様"</f>
        <v>ID:006000000  ざく　ざく情報室以外使用禁止  様</v>
      </c>
      <c r="J3" s="140"/>
      <c r="K3" s="140"/>
    </row>
    <row r="4" spans="1:11" ht="19.5" customHeight="1" x14ac:dyDescent="0.2">
      <c r="A4" s="129" t="s">
        <v>70</v>
      </c>
      <c r="B4" s="129"/>
      <c r="C4" s="129"/>
      <c r="D4" s="70">
        <f>共通情報!B28</f>
        <v>0</v>
      </c>
      <c r="E4" s="69" t="s">
        <v>79</v>
      </c>
      <c r="F4" s="141">
        <f>共通情報!B29</f>
        <v>0</v>
      </c>
      <c r="G4" s="141"/>
      <c r="H4" s="141"/>
      <c r="I4" s="141"/>
      <c r="J4" s="141"/>
      <c r="K4" s="141"/>
    </row>
    <row r="5" spans="1:11" ht="18.75" customHeight="1" x14ac:dyDescent="0.2">
      <c r="A5" s="38"/>
      <c r="B5" s="38"/>
      <c r="C5" s="38"/>
      <c r="D5" s="60"/>
      <c r="E5" s="60"/>
      <c r="F5" s="60"/>
      <c r="G5" s="60"/>
      <c r="H5" s="60"/>
      <c r="I5" s="60"/>
      <c r="J5" s="60"/>
    </row>
    <row r="6" spans="1:11" ht="19.5" customHeight="1" x14ac:dyDescent="0.2">
      <c r="A6" s="129" t="str">
        <f>"２．麻酔の形式 ："</f>
        <v>２．麻酔の形式 ：</v>
      </c>
      <c r="B6" s="129"/>
      <c r="C6" s="129"/>
      <c r="D6" s="129">
        <f>共通情報!D30</f>
        <v>0</v>
      </c>
      <c r="E6" s="129"/>
      <c r="F6" s="129"/>
      <c r="G6" s="129"/>
      <c r="H6" s="129"/>
      <c r="I6" s="129"/>
      <c r="J6" s="67"/>
    </row>
    <row r="7" spans="1:11" ht="18.75" customHeight="1" x14ac:dyDescent="0.2">
      <c r="A7" s="38"/>
      <c r="B7" s="38"/>
      <c r="C7" s="38"/>
      <c r="D7" s="38"/>
      <c r="E7" s="38"/>
      <c r="F7" s="38"/>
      <c r="G7" s="38"/>
      <c r="H7" s="38"/>
      <c r="I7" s="38"/>
      <c r="J7" s="38"/>
    </row>
    <row r="8" spans="1:11" ht="19.5" customHeight="1" x14ac:dyDescent="0.2">
      <c r="A8" s="129" t="str">
        <f>"３．手術の説明　"</f>
        <v>３．手術の説明　</v>
      </c>
      <c r="B8" s="129"/>
      <c r="C8" s="129"/>
      <c r="D8" s="38"/>
      <c r="E8" s="38"/>
      <c r="F8" s="38"/>
      <c r="G8" s="38"/>
      <c r="H8" s="38"/>
      <c r="I8" s="38"/>
      <c r="J8" s="38"/>
    </row>
    <row r="9" spans="1:11" ht="18.75" customHeight="1" x14ac:dyDescent="0.2">
      <c r="A9"/>
      <c r="B9"/>
      <c r="C9" s="38"/>
      <c r="D9" s="38"/>
      <c r="E9" s="38"/>
      <c r="F9" s="38"/>
    </row>
    <row r="10" spans="1:11" ht="390" customHeight="1" x14ac:dyDescent="0.2">
      <c r="A10" s="38"/>
      <c r="B10" s="131">
        <f>IF(共通情報!D30="局所麻酔", 共通情報!B31 &amp; CHAR(10) &amp; 共通情報!B36, 共通情報!B31)</f>
        <v>0</v>
      </c>
      <c r="C10" s="131"/>
      <c r="D10" s="131"/>
      <c r="E10" s="131"/>
      <c r="F10" s="131"/>
      <c r="G10" s="131"/>
      <c r="H10" s="131"/>
      <c r="I10" s="131"/>
    </row>
    <row r="11" spans="1:11" s="39" customFormat="1" ht="19.5" customHeight="1" thickBot="1" x14ac:dyDescent="0.25">
      <c r="A11" s="39" t="s">
        <v>163</v>
      </c>
      <c r="C11" s="117"/>
      <c r="D11" s="117"/>
      <c r="E11" s="117"/>
      <c r="F11" s="117"/>
      <c r="G11" s="117"/>
      <c r="H11" s="117"/>
      <c r="I11" s="117"/>
      <c r="J11" s="117"/>
      <c r="K11" s="117"/>
    </row>
    <row r="12" spans="1:11" s="39" customFormat="1" ht="19.5" customHeight="1" x14ac:dyDescent="0.2">
      <c r="A12" s="118" t="s">
        <v>164</v>
      </c>
      <c r="B12" s="118"/>
      <c r="C12" s="119"/>
      <c r="D12" s="119"/>
      <c r="E12" s="119"/>
      <c r="F12" s="119"/>
      <c r="G12" s="119"/>
      <c r="H12" s="119"/>
      <c r="I12" s="119"/>
      <c r="J12" s="119"/>
      <c r="K12" s="119"/>
    </row>
    <row r="13" spans="1:11" s="39" customFormat="1" ht="19.5" customHeight="1" x14ac:dyDescent="0.2">
      <c r="C13" s="39" t="s">
        <v>165</v>
      </c>
      <c r="D13" s="117"/>
      <c r="E13" s="117"/>
      <c r="F13" s="117"/>
      <c r="G13" s="117"/>
      <c r="H13" s="117"/>
      <c r="I13" s="117"/>
      <c r="J13" s="117"/>
      <c r="K13" s="117"/>
    </row>
    <row r="14" spans="1:11" s="39" customFormat="1" ht="19.5" customHeight="1" x14ac:dyDescent="0.2">
      <c r="C14" s="39" t="s">
        <v>168</v>
      </c>
      <c r="D14" s="117"/>
      <c r="E14" s="117"/>
      <c r="F14" s="117"/>
      <c r="G14" s="117"/>
      <c r="H14" s="120" t="s">
        <v>169</v>
      </c>
      <c r="I14" s="132" t="s">
        <v>174</v>
      </c>
      <c r="J14" s="133"/>
      <c r="K14" s="134"/>
    </row>
    <row r="15" spans="1:11" s="39" customFormat="1" ht="19.5" customHeight="1" x14ac:dyDescent="0.2">
      <c r="C15" s="39" t="s">
        <v>166</v>
      </c>
      <c r="D15" s="117"/>
      <c r="E15" s="117"/>
      <c r="F15" s="117"/>
      <c r="G15" s="117"/>
      <c r="H15" s="117"/>
      <c r="I15" s="135"/>
      <c r="J15" s="136"/>
      <c r="K15" s="137"/>
    </row>
    <row r="16" spans="1:11" s="39" customFormat="1" ht="19.5" customHeight="1" x14ac:dyDescent="0.2">
      <c r="C16" s="39" t="s">
        <v>167</v>
      </c>
      <c r="D16" s="117"/>
      <c r="E16" s="117"/>
      <c r="F16" s="117"/>
      <c r="G16" s="117"/>
      <c r="H16" s="117"/>
      <c r="I16" s="117"/>
      <c r="J16" s="117"/>
      <c r="K16" s="117"/>
    </row>
    <row r="17" spans="1:12" s="43" customFormat="1" ht="9.9" customHeight="1" x14ac:dyDescent="0.2"/>
    <row r="18" spans="1:12" s="43" customFormat="1" ht="19.5" customHeight="1" x14ac:dyDescent="0.2">
      <c r="A18" s="45" t="s">
        <v>72</v>
      </c>
      <c r="B18" s="45"/>
      <c r="C18" s="138" t="str">
        <f>共通情報!C8</f>
        <v>2014年06月26日</v>
      </c>
      <c r="D18" s="138"/>
      <c r="E18" s="138"/>
      <c r="F18" s="138"/>
      <c r="G18" s="113"/>
      <c r="I18" s="45" t="str">
        <f>IF(共通情報!G27="",共通情報!H28,共通情報!H27)</f>
        <v>手術日　　　　　　年　　　　月　　　　日</v>
      </c>
      <c r="J18" s="45"/>
      <c r="K18" s="45"/>
    </row>
    <row r="19" spans="1:12" s="43" customFormat="1" ht="18.75" customHeight="1" x14ac:dyDescent="0.2"/>
    <row r="20" spans="1:12" s="43" customFormat="1" ht="19.5" customHeight="1" x14ac:dyDescent="0.2">
      <c r="A20" s="45" t="s">
        <v>73</v>
      </c>
      <c r="B20" s="45"/>
      <c r="C20" s="122">
        <f>共通情報!B27</f>
        <v>0</v>
      </c>
      <c r="D20" s="122"/>
      <c r="E20" s="122"/>
      <c r="F20" s="122"/>
      <c r="G20" s="114" t="s">
        <v>82</v>
      </c>
      <c r="I20" s="45" t="s">
        <v>74</v>
      </c>
      <c r="J20" s="45"/>
      <c r="K20" s="45"/>
    </row>
    <row r="21" spans="1:12" s="43" customFormat="1" ht="18.75" customHeight="1" x14ac:dyDescent="0.2"/>
    <row r="22" spans="1:12" s="43" customFormat="1" ht="19.5" customHeight="1" x14ac:dyDescent="0.2">
      <c r="A22" s="47" t="s">
        <v>77</v>
      </c>
      <c r="B22" s="47"/>
      <c r="C22" s="47"/>
    </row>
    <row r="23" spans="1:12" s="43" customFormat="1" ht="19.5" customHeight="1" x14ac:dyDescent="0.2">
      <c r="C23" s="124" t="s">
        <v>81</v>
      </c>
      <c r="D23" s="124"/>
      <c r="E23" s="124"/>
      <c r="F23" s="124"/>
      <c r="G23" s="124"/>
    </row>
    <row r="24" spans="1:12" s="43" customFormat="1" ht="18.75" customHeight="1" thickBot="1" x14ac:dyDescent="0.25"/>
    <row r="25" spans="1:12" s="43" customFormat="1" ht="39.9" customHeight="1" thickBot="1" x14ac:dyDescent="0.25">
      <c r="A25" s="125" t="s">
        <v>162</v>
      </c>
      <c r="B25" s="126"/>
      <c r="C25" s="126"/>
      <c r="D25" s="126"/>
      <c r="E25" s="126"/>
      <c r="F25" s="126"/>
      <c r="G25" s="126"/>
      <c r="H25" s="127" t="s">
        <v>170</v>
      </c>
      <c r="I25" s="127"/>
      <c r="J25" s="127"/>
      <c r="K25" s="128"/>
      <c r="L25" s="112"/>
    </row>
    <row r="26" spans="1:12" s="43" customFormat="1" ht="18.75" customHeight="1" x14ac:dyDescent="0.2"/>
    <row r="27" spans="1:12" s="43" customFormat="1" ht="19.5" customHeight="1" x14ac:dyDescent="0.2">
      <c r="A27" s="45" t="s">
        <v>76</v>
      </c>
      <c r="B27" s="45"/>
      <c r="C27" s="45"/>
      <c r="D27" s="45"/>
      <c r="E27" s="45"/>
      <c r="F27" s="115"/>
      <c r="G27" s="115"/>
      <c r="J27" s="116"/>
      <c r="K27" s="116"/>
    </row>
    <row r="28" spans="1:12" ht="9.9" customHeight="1" x14ac:dyDescent="0.2">
      <c r="H28" s="66"/>
      <c r="I28" s="64"/>
      <c r="J28" s="38"/>
      <c r="K28" s="38"/>
    </row>
    <row r="29" spans="1:12" ht="33" customHeight="1" x14ac:dyDescent="0.2">
      <c r="A29" s="139" t="s">
        <v>100</v>
      </c>
      <c r="B29" s="139"/>
      <c r="C29" s="139"/>
      <c r="D29" s="139"/>
      <c r="E29" s="139"/>
      <c r="F29" s="139"/>
      <c r="G29" s="139"/>
      <c r="H29" s="139"/>
      <c r="I29" s="139"/>
      <c r="J29" s="38"/>
      <c r="K29" s="38"/>
    </row>
    <row r="30" spans="1:12" ht="19.5" customHeight="1" x14ac:dyDescent="0.2">
      <c r="A30" s="65"/>
      <c r="B30" s="65"/>
      <c r="C30" s="65"/>
      <c r="D30" s="65"/>
      <c r="E30" s="65"/>
      <c r="F30" s="65"/>
      <c r="G30" s="65"/>
      <c r="H30" s="65"/>
      <c r="I30" s="140" t="str">
        <f>I3</f>
        <v>ID:006000000  ざく　ざく情報室以外使用禁止  様</v>
      </c>
      <c r="J30" s="140"/>
      <c r="K30" s="140"/>
    </row>
    <row r="31" spans="1:12" ht="19.5" customHeight="1" x14ac:dyDescent="0.2">
      <c r="A31" s="129" t="s">
        <v>70</v>
      </c>
      <c r="B31" s="129"/>
      <c r="C31" s="129"/>
      <c r="D31" s="70">
        <f>D4</f>
        <v>0</v>
      </c>
      <c r="E31" s="69" t="s">
        <v>80</v>
      </c>
      <c r="F31" s="141">
        <f>F4</f>
        <v>0</v>
      </c>
      <c r="G31" s="141"/>
      <c r="H31" s="141"/>
      <c r="I31" s="141"/>
      <c r="J31" s="141"/>
      <c r="K31" s="141"/>
    </row>
    <row r="32" spans="1:12" ht="19.5" customHeight="1" x14ac:dyDescent="0.2">
      <c r="A32" s="38"/>
      <c r="B32" s="38"/>
      <c r="C32" s="38"/>
      <c r="D32" s="60"/>
      <c r="E32" s="60"/>
      <c r="F32" s="60"/>
      <c r="G32" s="60"/>
      <c r="H32" s="60"/>
      <c r="I32" s="60"/>
    </row>
    <row r="33" spans="1:11" ht="19.5" customHeight="1" x14ac:dyDescent="0.2">
      <c r="A33" s="129" t="str">
        <f>"２．麻酔の形式 ："</f>
        <v>２．麻酔の形式 ：</v>
      </c>
      <c r="B33" s="129"/>
      <c r="C33" s="129"/>
      <c r="D33" s="130">
        <f>D6</f>
        <v>0</v>
      </c>
      <c r="E33" s="130"/>
      <c r="F33" s="130"/>
      <c r="G33" s="130"/>
      <c r="H33" s="130"/>
      <c r="I33" s="130"/>
      <c r="J33" s="130"/>
      <c r="K33" s="130"/>
    </row>
    <row r="34" spans="1:11" ht="19.5" customHeight="1" x14ac:dyDescent="0.2">
      <c r="A34" s="38"/>
      <c r="B34" s="38"/>
      <c r="C34" s="38"/>
      <c r="D34" s="38"/>
      <c r="E34" s="38"/>
      <c r="F34" s="38"/>
      <c r="G34" s="38"/>
      <c r="H34" s="38"/>
      <c r="I34" s="38"/>
    </row>
    <row r="35" spans="1:11" ht="19.5" customHeight="1" x14ac:dyDescent="0.2">
      <c r="A35" s="129" t="str">
        <f>"３．手術の説明　"</f>
        <v>３．手術の説明　</v>
      </c>
      <c r="B35" s="129"/>
      <c r="C35" s="129"/>
      <c r="D35" s="38"/>
      <c r="E35" s="38"/>
      <c r="F35" s="38"/>
      <c r="G35" s="38"/>
      <c r="H35" s="38"/>
      <c r="I35" s="38"/>
    </row>
    <row r="36" spans="1:11" ht="19.5" customHeight="1" x14ac:dyDescent="0.2">
      <c r="A36"/>
      <c r="B36"/>
      <c r="C36" s="38"/>
      <c r="D36" s="38"/>
      <c r="E36" s="38"/>
      <c r="F36" s="38"/>
    </row>
    <row r="37" spans="1:11" ht="390" customHeight="1" x14ac:dyDescent="0.2">
      <c r="A37" s="38"/>
      <c r="B37" s="131">
        <f>B10</f>
        <v>0</v>
      </c>
      <c r="C37" s="131"/>
      <c r="D37" s="131"/>
      <c r="E37" s="131"/>
      <c r="F37" s="131"/>
      <c r="G37" s="131"/>
      <c r="H37" s="131"/>
      <c r="I37" s="131"/>
    </row>
    <row r="38" spans="1:11" s="39" customFormat="1" ht="19.5" customHeight="1" thickBot="1" x14ac:dyDescent="0.25">
      <c r="A38" s="39" t="s">
        <v>163</v>
      </c>
      <c r="C38" s="117"/>
      <c r="D38" s="117"/>
      <c r="E38" s="117"/>
      <c r="F38" s="117"/>
      <c r="G38" s="117"/>
      <c r="H38" s="117"/>
      <c r="I38" s="117"/>
      <c r="J38" s="117"/>
      <c r="K38" s="117"/>
    </row>
    <row r="39" spans="1:11" s="39" customFormat="1" ht="19.5" customHeight="1" x14ac:dyDescent="0.2">
      <c r="A39" s="118" t="s">
        <v>164</v>
      </c>
      <c r="B39" s="118"/>
      <c r="C39" s="119"/>
      <c r="D39" s="119"/>
      <c r="E39" s="119"/>
      <c r="F39" s="119"/>
      <c r="G39" s="119"/>
      <c r="H39" s="119"/>
      <c r="I39" s="119"/>
      <c r="J39" s="119"/>
      <c r="K39" s="119"/>
    </row>
    <row r="40" spans="1:11" s="39" customFormat="1" ht="19.5" customHeight="1" x14ac:dyDescent="0.2">
      <c r="C40" s="39" t="s">
        <v>171</v>
      </c>
      <c r="D40" s="117"/>
      <c r="E40" s="117"/>
      <c r="F40" s="117"/>
      <c r="G40" s="117"/>
      <c r="H40" s="117"/>
      <c r="I40" s="117"/>
      <c r="J40" s="117"/>
      <c r="K40" s="117"/>
    </row>
    <row r="41" spans="1:11" s="39" customFormat="1" ht="19.5" customHeight="1" x14ac:dyDescent="0.2">
      <c r="C41" s="39" t="s">
        <v>168</v>
      </c>
      <c r="D41" s="117"/>
      <c r="E41" s="117"/>
      <c r="F41" s="117"/>
      <c r="G41" s="117"/>
      <c r="H41" s="120" t="s">
        <v>169</v>
      </c>
      <c r="I41" s="132" t="s">
        <v>174</v>
      </c>
      <c r="J41" s="133"/>
      <c r="K41" s="134"/>
    </row>
    <row r="42" spans="1:11" s="39" customFormat="1" ht="19.5" customHeight="1" x14ac:dyDescent="0.2">
      <c r="C42" s="39" t="s">
        <v>166</v>
      </c>
      <c r="D42" s="117"/>
      <c r="E42" s="117"/>
      <c r="F42" s="117"/>
      <c r="G42" s="117"/>
      <c r="H42" s="117"/>
      <c r="I42" s="135"/>
      <c r="J42" s="136"/>
      <c r="K42" s="137"/>
    </row>
    <row r="43" spans="1:11" s="39" customFormat="1" ht="19.5" customHeight="1" x14ac:dyDescent="0.2">
      <c r="C43" s="39" t="s">
        <v>167</v>
      </c>
      <c r="D43" s="117"/>
      <c r="E43" s="117"/>
      <c r="F43" s="117"/>
      <c r="G43" s="117"/>
      <c r="H43" s="117"/>
      <c r="I43" s="117"/>
      <c r="J43" s="117"/>
      <c r="K43" s="117"/>
    </row>
    <row r="44" spans="1:11" s="43" customFormat="1" ht="9.9" customHeight="1" x14ac:dyDescent="0.2"/>
    <row r="45" spans="1:11" s="43" customFormat="1" ht="19.5" customHeight="1" x14ac:dyDescent="0.2">
      <c r="A45" s="45" t="s">
        <v>72</v>
      </c>
      <c r="B45" s="45"/>
      <c r="C45" s="138" t="str">
        <f>C18</f>
        <v>2014年06月26日</v>
      </c>
      <c r="D45" s="138"/>
      <c r="E45" s="138"/>
      <c r="F45" s="138"/>
      <c r="G45" s="113"/>
      <c r="I45" s="45" t="str">
        <f>I18</f>
        <v>手術日　　　　　　年　　　　月　　　　日</v>
      </c>
      <c r="J45" s="45"/>
      <c r="K45" s="45"/>
    </row>
    <row r="46" spans="1:11" s="43" customFormat="1" ht="18.75" customHeight="1" x14ac:dyDescent="0.2"/>
    <row r="47" spans="1:11" s="43" customFormat="1" ht="19.5" customHeight="1" x14ac:dyDescent="0.2">
      <c r="A47" s="45" t="s">
        <v>73</v>
      </c>
      <c r="B47" s="45"/>
      <c r="C47" s="122">
        <f>C20</f>
        <v>0</v>
      </c>
      <c r="D47" s="123"/>
      <c r="E47" s="123"/>
      <c r="F47" s="123"/>
      <c r="G47" s="114" t="s">
        <v>82</v>
      </c>
      <c r="I47" s="45" t="s">
        <v>74</v>
      </c>
      <c r="J47" s="45"/>
      <c r="K47" s="45"/>
    </row>
    <row r="48" spans="1:11" s="43" customFormat="1" ht="18.75" customHeight="1" x14ac:dyDescent="0.2"/>
    <row r="49" spans="1:12" s="43" customFormat="1" ht="19.5" customHeight="1" x14ac:dyDescent="0.2">
      <c r="A49" s="47" t="s">
        <v>77</v>
      </c>
      <c r="B49" s="47"/>
      <c r="C49" s="47"/>
    </row>
    <row r="50" spans="1:12" s="43" customFormat="1" ht="19.5" customHeight="1" x14ac:dyDescent="0.2">
      <c r="C50" s="124" t="s">
        <v>81</v>
      </c>
      <c r="D50" s="124"/>
      <c r="E50" s="124"/>
      <c r="F50" s="124"/>
      <c r="G50" s="124"/>
    </row>
    <row r="51" spans="1:12" s="43" customFormat="1" ht="18.75" customHeight="1" thickBot="1" x14ac:dyDescent="0.25"/>
    <row r="52" spans="1:12" s="43" customFormat="1" ht="39.9" customHeight="1" thickBot="1" x14ac:dyDescent="0.25">
      <c r="A52" s="125" t="s">
        <v>162</v>
      </c>
      <c r="B52" s="126"/>
      <c r="C52" s="126"/>
      <c r="D52" s="126"/>
      <c r="E52" s="126"/>
      <c r="F52" s="126"/>
      <c r="G52" s="126"/>
      <c r="H52" s="127" t="s">
        <v>170</v>
      </c>
      <c r="I52" s="127"/>
      <c r="J52" s="127"/>
      <c r="K52" s="128"/>
      <c r="L52" s="112"/>
    </row>
    <row r="53" spans="1:12" s="43" customFormat="1" ht="18.75" customHeight="1" x14ac:dyDescent="0.2"/>
    <row r="54" spans="1:12" s="43" customFormat="1" ht="19.5" customHeight="1" x14ac:dyDescent="0.2">
      <c r="A54" s="45" t="s">
        <v>76</v>
      </c>
      <c r="B54" s="45"/>
      <c r="C54" s="45"/>
      <c r="D54" s="45"/>
      <c r="E54" s="45"/>
      <c r="F54" s="115"/>
      <c r="G54" s="115"/>
      <c r="J54" s="116"/>
      <c r="K54" s="116"/>
    </row>
    <row r="55" spans="1:12" ht="9.9" customHeight="1" x14ac:dyDescent="0.2">
      <c r="H55" s="66"/>
      <c r="I55" s="64"/>
      <c r="J55" s="38"/>
      <c r="K55" s="38"/>
    </row>
    <row r="56" spans="1:12" ht="19.5" customHeight="1" x14ac:dyDescent="0.2">
      <c r="A56" s="38"/>
      <c r="B56" s="38"/>
      <c r="C56" s="44"/>
      <c r="D56" s="44"/>
      <c r="E56" s="44"/>
      <c r="F56" s="44"/>
      <c r="G56" s="44"/>
      <c r="H56" s="44"/>
      <c r="I56" s="44"/>
    </row>
    <row r="57" spans="1:12" ht="19.5" customHeight="1" x14ac:dyDescent="0.2">
      <c r="A57" s="38"/>
      <c r="B57" s="38"/>
      <c r="C57" s="44"/>
      <c r="D57" s="44"/>
      <c r="E57" s="44"/>
      <c r="F57" s="44"/>
      <c r="G57" s="44"/>
      <c r="H57" s="44"/>
      <c r="I57" s="44"/>
    </row>
    <row r="58" spans="1:12" ht="19.5" customHeight="1" x14ac:dyDescent="0.2">
      <c r="A58" s="38"/>
      <c r="B58" s="38"/>
      <c r="C58" s="44"/>
      <c r="D58" s="44"/>
      <c r="E58" s="44"/>
      <c r="F58" s="44"/>
      <c r="G58" s="44"/>
      <c r="H58" s="44"/>
      <c r="I58" s="44"/>
    </row>
    <row r="59" spans="1:12" ht="19.5" customHeight="1" x14ac:dyDescent="0.2">
      <c r="A59" s="38"/>
      <c r="B59" s="38"/>
      <c r="C59" s="44"/>
      <c r="D59" s="44"/>
      <c r="E59" s="44"/>
      <c r="F59" s="44"/>
      <c r="G59" s="44"/>
      <c r="H59" s="44"/>
      <c r="I59" s="44"/>
    </row>
    <row r="60" spans="1:12" ht="19.5" customHeight="1" x14ac:dyDescent="0.2">
      <c r="A60" s="38"/>
      <c r="B60" s="38"/>
      <c r="C60" s="44"/>
      <c r="D60" s="44"/>
      <c r="E60" s="44"/>
      <c r="F60" s="44"/>
      <c r="G60" s="44"/>
      <c r="H60" s="44"/>
      <c r="I60" s="44"/>
    </row>
    <row r="61" spans="1:12" ht="19.5" customHeight="1" x14ac:dyDescent="0.2">
      <c r="A61" s="38"/>
      <c r="B61" s="38"/>
      <c r="C61" s="44"/>
      <c r="D61" s="44"/>
      <c r="E61" s="44"/>
      <c r="F61" s="44"/>
      <c r="G61" s="44"/>
      <c r="H61" s="44"/>
      <c r="I61" s="44"/>
    </row>
    <row r="62" spans="1:12" ht="19.5" customHeight="1" x14ac:dyDescent="0.2">
      <c r="A62" s="38"/>
      <c r="B62" s="38"/>
      <c r="C62" s="44"/>
      <c r="D62" s="44"/>
      <c r="E62" s="44"/>
      <c r="F62" s="44"/>
      <c r="G62" s="44"/>
      <c r="H62" s="44"/>
      <c r="I62" s="44"/>
    </row>
    <row r="63" spans="1:12" ht="19.5" customHeight="1" x14ac:dyDescent="0.2">
      <c r="A63" s="38"/>
      <c r="B63" s="38"/>
      <c r="C63" s="44"/>
      <c r="D63" s="44"/>
      <c r="E63" s="44"/>
      <c r="F63" s="44"/>
      <c r="G63" s="44"/>
      <c r="H63" s="44"/>
      <c r="I63" s="44"/>
    </row>
    <row r="64" spans="1:12" ht="19.5" customHeight="1" x14ac:dyDescent="0.2">
      <c r="A64" s="38"/>
      <c r="B64" s="38"/>
      <c r="C64" s="44"/>
      <c r="D64" s="44"/>
      <c r="E64" s="44"/>
      <c r="F64" s="44"/>
      <c r="G64" s="44"/>
      <c r="H64" s="44"/>
      <c r="I64" s="44"/>
    </row>
    <row r="65" spans="1:9" ht="19.5" customHeight="1" x14ac:dyDescent="0.2">
      <c r="A65" s="38"/>
      <c r="B65" s="38"/>
      <c r="C65" s="44"/>
      <c r="D65" s="44"/>
      <c r="E65" s="44"/>
      <c r="F65" s="44"/>
      <c r="G65" s="44"/>
      <c r="H65" s="44"/>
      <c r="I65" s="44"/>
    </row>
    <row r="66" spans="1:9" ht="19.5" customHeight="1" x14ac:dyDescent="0.2">
      <c r="A66" s="38"/>
      <c r="B66" s="38"/>
      <c r="C66" s="44"/>
      <c r="D66" s="44"/>
      <c r="E66" s="44"/>
      <c r="F66" s="44"/>
      <c r="G66" s="44"/>
      <c r="H66" s="44"/>
      <c r="I66" s="44"/>
    </row>
    <row r="67" spans="1:9" ht="19.5" customHeight="1" x14ac:dyDescent="0.2">
      <c r="A67"/>
      <c r="B67"/>
      <c r="C67" s="44"/>
      <c r="D67" s="44"/>
      <c r="E67" s="44"/>
      <c r="F67" s="44"/>
      <c r="G67" s="44"/>
      <c r="H67" s="44"/>
      <c r="I67" s="44"/>
    </row>
    <row r="68" spans="1:9" ht="19.5" customHeight="1" x14ac:dyDescent="0.2">
      <c r="A68"/>
      <c r="B68"/>
      <c r="C68" s="44"/>
      <c r="D68" s="44"/>
      <c r="E68" s="44"/>
      <c r="F68" s="44"/>
      <c r="G68" s="44"/>
      <c r="H68" s="44"/>
      <c r="I68" s="44"/>
    </row>
    <row r="69" spans="1:9" ht="19.5" customHeight="1" x14ac:dyDescent="0.2">
      <c r="A69"/>
      <c r="B69"/>
      <c r="C69" s="44"/>
      <c r="D69" s="44"/>
      <c r="E69" s="44"/>
      <c r="F69" s="44"/>
      <c r="G69" s="44"/>
      <c r="H69" s="44"/>
      <c r="I69" s="44"/>
    </row>
    <row r="70" spans="1:9" ht="19.5" customHeight="1" x14ac:dyDescent="0.2">
      <c r="A70"/>
      <c r="B70"/>
      <c r="C70" s="44"/>
      <c r="D70" s="44"/>
      <c r="E70" s="44"/>
      <c r="F70" s="44"/>
      <c r="G70" s="44"/>
      <c r="H70" s="44"/>
      <c r="I70" s="44"/>
    </row>
    <row r="71" spans="1:9" ht="19.5" customHeight="1" x14ac:dyDescent="0.2">
      <c r="A71"/>
      <c r="B71"/>
      <c r="C71" s="44"/>
      <c r="D71" s="44"/>
      <c r="E71" s="44"/>
      <c r="F71" s="44"/>
      <c r="G71" s="44"/>
      <c r="H71" s="44"/>
      <c r="I71" s="44"/>
    </row>
    <row r="72" spans="1:9" ht="19.5" customHeight="1" x14ac:dyDescent="0.2">
      <c r="A72"/>
      <c r="B72"/>
      <c r="C72" s="44"/>
      <c r="D72" s="44"/>
      <c r="E72" s="44"/>
      <c r="F72" s="44"/>
      <c r="G72" s="44"/>
      <c r="H72" s="44"/>
      <c r="I72" s="44"/>
    </row>
    <row r="73" spans="1:9" ht="19.5" customHeight="1" x14ac:dyDescent="0.2">
      <c r="A73"/>
      <c r="B73"/>
      <c r="C73" s="44"/>
      <c r="D73" s="44"/>
      <c r="E73" s="44"/>
      <c r="F73" s="44"/>
      <c r="G73" s="44"/>
      <c r="H73" s="44"/>
      <c r="I73" s="44"/>
    </row>
    <row r="74" spans="1:9" ht="19.5" customHeight="1" x14ac:dyDescent="0.2">
      <c r="A74"/>
      <c r="B74"/>
      <c r="C74" s="44"/>
      <c r="D74" s="44"/>
      <c r="E74" s="44"/>
      <c r="F74" s="44"/>
      <c r="G74" s="44"/>
      <c r="H74" s="44"/>
      <c r="I74" s="44"/>
    </row>
    <row r="75" spans="1:9" ht="19.5" customHeight="1" x14ac:dyDescent="0.2">
      <c r="A75"/>
      <c r="B75"/>
      <c r="C75" s="44"/>
      <c r="D75" s="44"/>
      <c r="E75" s="44"/>
      <c r="F75" s="44"/>
      <c r="G75" s="44"/>
      <c r="H75" s="44"/>
      <c r="I75" s="44"/>
    </row>
    <row r="76" spans="1:9" ht="19.5" customHeight="1" x14ac:dyDescent="0.2">
      <c r="A76"/>
      <c r="B76"/>
      <c r="C76" s="44"/>
      <c r="D76" s="44"/>
      <c r="E76" s="44"/>
      <c r="F76" s="44"/>
      <c r="G76" s="44"/>
      <c r="H76" s="44"/>
      <c r="I76" s="44"/>
    </row>
    <row r="77" spans="1:9" ht="19.5" customHeight="1" x14ac:dyDescent="0.2">
      <c r="A77"/>
      <c r="B77"/>
      <c r="C77" s="44"/>
      <c r="D77" s="44"/>
      <c r="E77" s="44"/>
      <c r="F77" s="44"/>
      <c r="G77" s="44"/>
      <c r="H77" s="44"/>
      <c r="I77" s="44"/>
    </row>
    <row r="78" spans="1:9" ht="19.5" customHeight="1" x14ac:dyDescent="0.2">
      <c r="A78"/>
      <c r="B78"/>
      <c r="C78" s="44"/>
      <c r="D78" s="44"/>
      <c r="E78" s="44"/>
      <c r="F78" s="44"/>
      <c r="G78" s="44"/>
      <c r="H78" s="44"/>
      <c r="I78" s="44"/>
    </row>
    <row r="79" spans="1:9" ht="19.5" customHeight="1" x14ac:dyDescent="0.2">
      <c r="A79"/>
      <c r="B79"/>
      <c r="C79" s="44"/>
      <c r="D79" s="44"/>
      <c r="E79" s="44"/>
      <c r="F79" s="44"/>
      <c r="G79" s="44"/>
      <c r="H79" s="44"/>
      <c r="I79" s="44"/>
    </row>
    <row r="80" spans="1:9" ht="19.5" customHeight="1" x14ac:dyDescent="0.2">
      <c r="A80"/>
      <c r="B80"/>
      <c r="C80" s="44"/>
      <c r="D80" s="44"/>
      <c r="E80" s="44"/>
      <c r="F80" s="44"/>
      <c r="G80" s="44"/>
      <c r="H80" s="44"/>
      <c r="I80" s="44"/>
    </row>
    <row r="81" spans="1:2" x14ac:dyDescent="0.2">
      <c r="A81"/>
      <c r="B81"/>
    </row>
    <row r="82" spans="1:2" x14ac:dyDescent="0.2">
      <c r="A82"/>
      <c r="B82"/>
    </row>
    <row r="83" spans="1:2" x14ac:dyDescent="0.2">
      <c r="A83"/>
      <c r="B83"/>
    </row>
    <row r="84" spans="1:2" x14ac:dyDescent="0.2">
      <c r="A84"/>
      <c r="B84"/>
    </row>
    <row r="85" spans="1:2" x14ac:dyDescent="0.2">
      <c r="A85"/>
      <c r="B85"/>
    </row>
    <row r="86" spans="1:2" x14ac:dyDescent="0.2">
      <c r="A86"/>
      <c r="B86"/>
    </row>
    <row r="87" spans="1:2" x14ac:dyDescent="0.2">
      <c r="A87"/>
      <c r="B87"/>
    </row>
    <row r="88" spans="1:2" x14ac:dyDescent="0.2">
      <c r="A88"/>
      <c r="B88"/>
    </row>
    <row r="89" spans="1:2" x14ac:dyDescent="0.2">
      <c r="A89"/>
      <c r="B89"/>
    </row>
    <row r="90" spans="1:2" x14ac:dyDescent="0.2">
      <c r="A90"/>
      <c r="B90"/>
    </row>
    <row r="91" spans="1:2" x14ac:dyDescent="0.2">
      <c r="A91"/>
      <c r="B91"/>
    </row>
    <row r="92" spans="1:2" x14ac:dyDescent="0.2">
      <c r="A92"/>
      <c r="B92"/>
    </row>
    <row r="93" spans="1:2" x14ac:dyDescent="0.2">
      <c r="A93"/>
      <c r="B93"/>
    </row>
    <row r="94" spans="1:2" x14ac:dyDescent="0.2">
      <c r="A94"/>
      <c r="B94"/>
    </row>
    <row r="95" spans="1:2" x14ac:dyDescent="0.2">
      <c r="A95"/>
      <c r="B95"/>
    </row>
    <row r="96" spans="1:2" x14ac:dyDescent="0.2">
      <c r="A96"/>
      <c r="B96"/>
    </row>
    <row r="97" spans="1:2" x14ac:dyDescent="0.2">
      <c r="A97"/>
      <c r="B97"/>
    </row>
    <row r="98" spans="1:2" x14ac:dyDescent="0.2">
      <c r="A98"/>
      <c r="B98"/>
    </row>
    <row r="99" spans="1:2" x14ac:dyDescent="0.2">
      <c r="A99"/>
      <c r="B99"/>
    </row>
    <row r="100" spans="1:2" x14ac:dyDescent="0.2">
      <c r="A100"/>
      <c r="B100"/>
    </row>
    <row r="101" spans="1:2" x14ac:dyDescent="0.2">
      <c r="A101"/>
      <c r="B101"/>
    </row>
    <row r="102" spans="1:2" x14ac:dyDescent="0.2">
      <c r="A102"/>
      <c r="B102"/>
    </row>
    <row r="103" spans="1:2" x14ac:dyDescent="0.2">
      <c r="A103"/>
      <c r="B103"/>
    </row>
    <row r="104" spans="1:2" x14ac:dyDescent="0.2">
      <c r="A104"/>
      <c r="B104"/>
    </row>
    <row r="105" spans="1:2" x14ac:dyDescent="0.2">
      <c r="A105"/>
      <c r="B105"/>
    </row>
    <row r="106" spans="1:2" x14ac:dyDescent="0.2">
      <c r="A106"/>
      <c r="B106"/>
    </row>
    <row r="107" spans="1:2" x14ac:dyDescent="0.2">
      <c r="A107"/>
      <c r="B107"/>
    </row>
    <row r="108" spans="1:2" x14ac:dyDescent="0.2">
      <c r="A108"/>
      <c r="B108"/>
    </row>
    <row r="109" spans="1:2" x14ac:dyDescent="0.2">
      <c r="A109"/>
      <c r="B109"/>
    </row>
    <row r="110" spans="1:2" x14ac:dyDescent="0.2">
      <c r="A110"/>
      <c r="B110"/>
    </row>
    <row r="111" spans="1:2" x14ac:dyDescent="0.2">
      <c r="A111"/>
      <c r="B111"/>
    </row>
    <row r="112" spans="1:2" x14ac:dyDescent="0.2">
      <c r="A112"/>
      <c r="B112"/>
    </row>
    <row r="113" spans="1:2" x14ac:dyDescent="0.2">
      <c r="A113"/>
      <c r="B113"/>
    </row>
  </sheetData>
  <mergeCells count="28">
    <mergeCell ref="B10:I10"/>
    <mergeCell ref="F4:K4"/>
    <mergeCell ref="I14:K15"/>
    <mergeCell ref="A25:G25"/>
    <mergeCell ref="H25:K25"/>
    <mergeCell ref="A8:C8"/>
    <mergeCell ref="C18:F18"/>
    <mergeCell ref="A2:I2"/>
    <mergeCell ref="I3:K3"/>
    <mergeCell ref="A4:C4"/>
    <mergeCell ref="A6:C6"/>
    <mergeCell ref="D6:I6"/>
    <mergeCell ref="A52:G52"/>
    <mergeCell ref="H52:K52"/>
    <mergeCell ref="C50:G50"/>
    <mergeCell ref="C20:F20"/>
    <mergeCell ref="C23:G23"/>
    <mergeCell ref="A29:I29"/>
    <mergeCell ref="B37:I37"/>
    <mergeCell ref="A31:C31"/>
    <mergeCell ref="A33:C33"/>
    <mergeCell ref="A35:C35"/>
    <mergeCell ref="D33:K33"/>
    <mergeCell ref="I30:K30"/>
    <mergeCell ref="I41:K42"/>
    <mergeCell ref="C45:F45"/>
    <mergeCell ref="C47:F47"/>
    <mergeCell ref="F31:K31"/>
  </mergeCells>
  <phoneticPr fontId="3"/>
  <pageMargins left="0.19685039370078741" right="0.19685039370078741" top="0.19685039370078741" bottom="0.19685039370078741" header="0.51181102362204722" footer="0.51181102362204722"/>
  <pageSetup paperSize="9" scale="94" orientation="portrait" horizontalDpi="300" r:id="rId1"/>
  <headerFooter alignWithMargins="0"/>
  <rowBreaks count="1" manualBreakCount="1">
    <brk id="28" max="10" man="1"/>
  </rowBreaks>
  <drawing r:id="rId2"/>
  <legacyDrawing r:id="rId3"/>
  <controls>
    <mc:AlternateContent xmlns:mc="http://schemas.openxmlformats.org/markup-compatibility/2006">
      <mc:Choice Requires="x14">
        <control shapeId="12289" r:id="rId4" name="CommandButton2">
          <controlPr defaultSize="0" autoLine="0" r:id="rId5">
            <anchor moveWithCells="1">
              <from>
                <xdr:col>13</xdr:col>
                <xdr:colOff>213360</xdr:colOff>
                <xdr:row>2</xdr:row>
                <xdr:rowOff>160020</xdr:rowOff>
              </from>
              <to>
                <xdr:col>15</xdr:col>
                <xdr:colOff>38100</xdr:colOff>
                <xdr:row>4</xdr:row>
                <xdr:rowOff>38100</xdr:rowOff>
              </to>
            </anchor>
          </controlPr>
        </control>
      </mc:Choice>
      <mc:Fallback>
        <control shapeId="12289" r:id="rId4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B4272F-8F65-450E-A1A4-EE2472D09273}">
  <sheetPr codeName="Sheet2"/>
  <dimension ref="A1:L113"/>
  <sheetViews>
    <sheetView zoomScaleNormal="100" workbookViewId="0">
      <selection activeCell="N6" sqref="N6"/>
    </sheetView>
  </sheetViews>
  <sheetFormatPr defaultRowHeight="13.2" x14ac:dyDescent="0.2"/>
  <cols>
    <col min="1" max="1" width="2.77734375" style="37" customWidth="1"/>
    <col min="2" max="2" width="10.21875" style="37" customWidth="1"/>
    <col min="3" max="3" width="8.109375" customWidth="1"/>
    <col min="4" max="4" width="5" customWidth="1"/>
    <col min="5" max="5" width="1.44140625" customWidth="1"/>
    <col min="6" max="6" width="14" customWidth="1"/>
    <col min="7" max="7" width="10" customWidth="1"/>
    <col min="8" max="8" width="4.109375" customWidth="1"/>
    <col min="9" max="9" width="31.109375" customWidth="1"/>
  </cols>
  <sheetData>
    <row r="1" spans="1:11" ht="50.1" customHeight="1" x14ac:dyDescent="0.2">
      <c r="H1" s="66"/>
      <c r="I1" s="64"/>
    </row>
    <row r="2" spans="1:11" ht="28.5" customHeight="1" x14ac:dyDescent="0.2">
      <c r="A2" s="139" t="s">
        <v>99</v>
      </c>
      <c r="B2" s="139"/>
      <c r="C2" s="139"/>
      <c r="D2" s="139"/>
      <c r="E2" s="139"/>
      <c r="F2" s="139"/>
      <c r="G2" s="139"/>
      <c r="H2" s="139"/>
      <c r="I2" s="139"/>
      <c r="J2" s="65"/>
    </row>
    <row r="3" spans="1:11" ht="18.75" customHeight="1" x14ac:dyDescent="0.2">
      <c r="A3" s="65"/>
      <c r="B3" s="65"/>
      <c r="C3" s="65"/>
      <c r="D3" s="65"/>
      <c r="E3" s="65"/>
      <c r="F3" s="65"/>
      <c r="G3" s="65"/>
      <c r="H3" s="65"/>
      <c r="I3" s="140" t="str">
        <f>"ID:"&amp;共通情報!B3&amp;"  " &amp; 共通情報!D3 &amp; "  様"</f>
        <v>ID:006000000  ざく　ざく情報室以外使用禁止  様</v>
      </c>
      <c r="J3" s="140"/>
      <c r="K3" s="140"/>
    </row>
    <row r="4" spans="1:11" ht="19.5" customHeight="1" x14ac:dyDescent="0.2">
      <c r="A4" s="129" t="s">
        <v>70</v>
      </c>
      <c r="B4" s="129"/>
      <c r="C4" s="129"/>
      <c r="D4" s="70">
        <f>共通情報!B28</f>
        <v>0</v>
      </c>
      <c r="E4" s="69" t="s">
        <v>79</v>
      </c>
      <c r="F4" s="141">
        <f>共通情報!B29</f>
        <v>0</v>
      </c>
      <c r="G4" s="141"/>
      <c r="H4" s="141"/>
      <c r="I4" s="141"/>
      <c r="J4" s="141"/>
      <c r="K4" s="141"/>
    </row>
    <row r="5" spans="1:11" ht="18.75" customHeight="1" x14ac:dyDescent="0.2">
      <c r="A5" s="38"/>
      <c r="B5" s="38"/>
      <c r="C5" s="38"/>
      <c r="D5" s="70"/>
      <c r="E5" s="60"/>
      <c r="F5" s="60"/>
      <c r="G5" s="60"/>
      <c r="H5" s="60"/>
      <c r="I5" s="60"/>
      <c r="J5" s="60"/>
    </row>
    <row r="6" spans="1:11" ht="19.5" customHeight="1" x14ac:dyDescent="0.2">
      <c r="A6" s="129" t="s">
        <v>83</v>
      </c>
      <c r="B6" s="129"/>
      <c r="C6" s="129"/>
      <c r="D6" s="142">
        <f>共通情報!D30</f>
        <v>0</v>
      </c>
      <c r="E6" s="142"/>
      <c r="F6" s="142"/>
      <c r="G6" s="142"/>
      <c r="H6" s="142"/>
      <c r="I6" s="142"/>
      <c r="J6" s="142"/>
      <c r="K6" s="142"/>
    </row>
    <row r="7" spans="1:11" ht="18.75" customHeight="1" x14ac:dyDescent="0.2">
      <c r="A7" s="38"/>
      <c r="B7" s="38"/>
      <c r="C7" s="38"/>
      <c r="D7" s="72"/>
      <c r="E7" s="38"/>
      <c r="F7" s="38"/>
      <c r="G7" s="38"/>
      <c r="H7" s="38"/>
      <c r="I7" s="38"/>
      <c r="J7" s="38"/>
    </row>
    <row r="8" spans="1:11" ht="19.5" customHeight="1" x14ac:dyDescent="0.2">
      <c r="A8" s="129" t="s">
        <v>84</v>
      </c>
      <c r="B8" s="129"/>
      <c r="C8" s="129"/>
      <c r="D8" s="38"/>
      <c r="E8" s="38"/>
      <c r="F8" s="38"/>
      <c r="G8" s="38"/>
      <c r="H8" s="38"/>
      <c r="I8" s="38"/>
      <c r="J8" s="38"/>
    </row>
    <row r="9" spans="1:11" ht="18.75" customHeight="1" x14ac:dyDescent="0.2">
      <c r="A9"/>
      <c r="B9"/>
      <c r="C9" s="38"/>
      <c r="D9" s="38"/>
      <c r="E9" s="38"/>
      <c r="F9" s="38"/>
    </row>
    <row r="10" spans="1:11" ht="390" customHeight="1" x14ac:dyDescent="0.2">
      <c r="A10" s="38"/>
      <c r="B10" s="131">
        <f>IF(共通情報!D30="局所麻酔", 共通情報!B31 &amp; CHAR(10) &amp; 共通情報!B36, 共通情報!B31)</f>
        <v>0</v>
      </c>
      <c r="C10" s="131"/>
      <c r="D10" s="131"/>
      <c r="E10" s="131"/>
      <c r="F10" s="131"/>
      <c r="G10" s="131"/>
      <c r="H10" s="131"/>
      <c r="I10" s="131"/>
    </row>
    <row r="11" spans="1:11" s="39" customFormat="1" ht="19.5" customHeight="1" thickBot="1" x14ac:dyDescent="0.25">
      <c r="A11" s="39" t="s">
        <v>163</v>
      </c>
      <c r="C11" s="117"/>
      <c r="D11" s="117"/>
      <c r="E11" s="117"/>
      <c r="F11" s="117"/>
      <c r="G11" s="117"/>
      <c r="H11" s="117"/>
      <c r="I11" s="117"/>
      <c r="J11" s="117"/>
      <c r="K11" s="117"/>
    </row>
    <row r="12" spans="1:11" s="39" customFormat="1" ht="19.5" customHeight="1" x14ac:dyDescent="0.2">
      <c r="A12" s="118" t="s">
        <v>164</v>
      </c>
      <c r="B12" s="118"/>
      <c r="C12" s="119"/>
      <c r="D12" s="119"/>
      <c r="E12" s="119"/>
      <c r="F12" s="119"/>
      <c r="G12" s="119"/>
      <c r="H12" s="119"/>
      <c r="I12" s="119"/>
      <c r="J12" s="119"/>
      <c r="K12" s="119"/>
    </row>
    <row r="13" spans="1:11" s="39" customFormat="1" ht="19.5" customHeight="1" x14ac:dyDescent="0.2">
      <c r="C13" s="39" t="s">
        <v>165</v>
      </c>
      <c r="D13" s="117"/>
      <c r="E13" s="117"/>
      <c r="F13" s="117"/>
      <c r="G13" s="117"/>
      <c r="H13" s="117"/>
      <c r="I13" s="117"/>
      <c r="J13" s="117"/>
      <c r="K13" s="117"/>
    </row>
    <row r="14" spans="1:11" s="39" customFormat="1" ht="19.5" customHeight="1" x14ac:dyDescent="0.2">
      <c r="C14" s="39" t="s">
        <v>168</v>
      </c>
      <c r="D14" s="117"/>
      <c r="E14" s="117"/>
      <c r="F14" s="117"/>
      <c r="G14" s="117"/>
      <c r="H14" s="120" t="s">
        <v>169</v>
      </c>
      <c r="I14" s="132" t="s">
        <v>176</v>
      </c>
      <c r="J14" s="133"/>
      <c r="K14" s="134"/>
    </row>
    <row r="15" spans="1:11" s="39" customFormat="1" ht="19.5" customHeight="1" x14ac:dyDescent="0.2">
      <c r="C15" s="39" t="s">
        <v>166</v>
      </c>
      <c r="D15" s="117"/>
      <c r="E15" s="117"/>
      <c r="F15" s="117"/>
      <c r="G15" s="117"/>
      <c r="H15" s="117"/>
      <c r="I15" s="135"/>
      <c r="J15" s="136"/>
      <c r="K15" s="137"/>
    </row>
    <row r="16" spans="1:11" s="39" customFormat="1" ht="19.5" customHeight="1" x14ac:dyDescent="0.2">
      <c r="C16" s="39" t="s">
        <v>167</v>
      </c>
      <c r="D16" s="117"/>
      <c r="E16" s="117"/>
      <c r="F16" s="117"/>
      <c r="G16" s="117"/>
      <c r="H16" s="117"/>
      <c r="I16" s="117"/>
      <c r="J16" s="117"/>
      <c r="K16" s="117"/>
    </row>
    <row r="17" spans="1:12" s="43" customFormat="1" ht="9.9" customHeight="1" x14ac:dyDescent="0.2"/>
    <row r="18" spans="1:12" s="43" customFormat="1" ht="19.5" customHeight="1" x14ac:dyDescent="0.2">
      <c r="A18" s="45" t="s">
        <v>72</v>
      </c>
      <c r="B18" s="45"/>
      <c r="C18" s="138" t="str">
        <f>共通情報!C8</f>
        <v>2014年06月26日</v>
      </c>
      <c r="D18" s="138"/>
      <c r="E18" s="138"/>
      <c r="F18" s="138"/>
      <c r="G18" s="113"/>
      <c r="I18" s="45" t="str">
        <f>IF(共通情報!G27="",共通情報!H28,共通情報!H27)</f>
        <v>手術日　　　　　　年　　　　月　　　　日</v>
      </c>
      <c r="J18" s="45"/>
      <c r="K18" s="45"/>
    </row>
    <row r="19" spans="1:12" s="43" customFormat="1" ht="18.75" customHeight="1" x14ac:dyDescent="0.2"/>
    <row r="20" spans="1:12" s="43" customFormat="1" ht="19.5" customHeight="1" x14ac:dyDescent="0.2">
      <c r="A20" s="45" t="s">
        <v>73</v>
      </c>
      <c r="B20" s="45"/>
      <c r="C20" s="122">
        <f>共通情報!B27</f>
        <v>0</v>
      </c>
      <c r="D20" s="122"/>
      <c r="E20" s="122"/>
      <c r="F20" s="122"/>
      <c r="G20" s="114" t="s">
        <v>82</v>
      </c>
      <c r="I20" s="45" t="s">
        <v>74</v>
      </c>
      <c r="J20" s="45"/>
      <c r="K20" s="45"/>
    </row>
    <row r="21" spans="1:12" s="43" customFormat="1" ht="18.75" customHeight="1" x14ac:dyDescent="0.2"/>
    <row r="22" spans="1:12" s="43" customFormat="1" ht="19.5" customHeight="1" x14ac:dyDescent="0.2">
      <c r="A22" s="47" t="s">
        <v>77</v>
      </c>
      <c r="B22" s="47"/>
      <c r="C22" s="47"/>
    </row>
    <row r="23" spans="1:12" s="43" customFormat="1" ht="19.5" customHeight="1" x14ac:dyDescent="0.2">
      <c r="C23" s="124" t="s">
        <v>81</v>
      </c>
      <c r="D23" s="124"/>
      <c r="E23" s="124"/>
      <c r="F23" s="124"/>
      <c r="G23" s="124"/>
    </row>
    <row r="24" spans="1:12" s="43" customFormat="1" ht="18.75" customHeight="1" thickBot="1" x14ac:dyDescent="0.25"/>
    <row r="25" spans="1:12" s="43" customFormat="1" ht="39.9" customHeight="1" thickBot="1" x14ac:dyDescent="0.25">
      <c r="A25" s="125" t="s">
        <v>162</v>
      </c>
      <c r="B25" s="126"/>
      <c r="C25" s="126"/>
      <c r="D25" s="126"/>
      <c r="E25" s="126"/>
      <c r="F25" s="126"/>
      <c r="G25" s="126"/>
      <c r="H25" s="127" t="s">
        <v>170</v>
      </c>
      <c r="I25" s="127"/>
      <c r="J25" s="127"/>
      <c r="K25" s="128"/>
      <c r="L25" s="112"/>
    </row>
    <row r="26" spans="1:12" s="43" customFormat="1" ht="18.75" customHeight="1" x14ac:dyDescent="0.2"/>
    <row r="27" spans="1:12" s="43" customFormat="1" ht="19.5" customHeight="1" x14ac:dyDescent="0.2">
      <c r="A27" s="45" t="s">
        <v>76</v>
      </c>
      <c r="B27" s="45"/>
      <c r="C27" s="45"/>
      <c r="D27" s="45"/>
      <c r="E27" s="45"/>
      <c r="F27" s="115"/>
      <c r="G27" s="115"/>
      <c r="J27" s="116"/>
      <c r="K27" s="116"/>
    </row>
    <row r="28" spans="1:12" ht="9.9" customHeight="1" x14ac:dyDescent="0.2">
      <c r="H28" s="66"/>
      <c r="I28" s="64"/>
      <c r="J28" s="38"/>
      <c r="K28" s="38"/>
    </row>
    <row r="29" spans="1:12" ht="33" customHeight="1" x14ac:dyDescent="0.2">
      <c r="A29" s="139" t="s">
        <v>100</v>
      </c>
      <c r="B29" s="139"/>
      <c r="C29" s="139"/>
      <c r="D29" s="139"/>
      <c r="E29" s="139"/>
      <c r="F29" s="139"/>
      <c r="G29" s="139"/>
      <c r="H29" s="139"/>
      <c r="I29" s="139"/>
      <c r="J29" s="38"/>
      <c r="K29" s="38"/>
    </row>
    <row r="30" spans="1:12" ht="19.5" customHeight="1" x14ac:dyDescent="0.2">
      <c r="A30" s="65"/>
      <c r="B30" s="65"/>
      <c r="C30" s="65"/>
      <c r="D30" s="65"/>
      <c r="E30" s="65"/>
      <c r="F30" s="65"/>
      <c r="G30" s="65"/>
      <c r="H30" s="65"/>
      <c r="I30" s="140" t="str">
        <f>I3</f>
        <v>ID:006000000  ざく　ざく情報室以外使用禁止  様</v>
      </c>
      <c r="J30" s="140"/>
      <c r="K30" s="140"/>
    </row>
    <row r="31" spans="1:12" ht="19.5" customHeight="1" x14ac:dyDescent="0.2">
      <c r="A31" s="129" t="s">
        <v>70</v>
      </c>
      <c r="B31" s="129"/>
      <c r="C31" s="129"/>
      <c r="D31" s="70">
        <f>D4</f>
        <v>0</v>
      </c>
      <c r="E31" s="69" t="s">
        <v>80</v>
      </c>
      <c r="F31" s="141">
        <f>F4</f>
        <v>0</v>
      </c>
      <c r="G31" s="141"/>
      <c r="H31" s="141"/>
      <c r="I31" s="141"/>
      <c r="J31" s="141"/>
      <c r="K31" s="141"/>
    </row>
    <row r="32" spans="1:12" ht="19.5" customHeight="1" x14ac:dyDescent="0.2">
      <c r="A32" s="38"/>
      <c r="B32" s="38"/>
      <c r="C32" s="38"/>
      <c r="D32" s="60"/>
      <c r="E32" s="60"/>
      <c r="F32" s="60"/>
      <c r="G32" s="60"/>
      <c r="H32" s="60"/>
      <c r="I32" s="60"/>
    </row>
    <row r="33" spans="1:11" ht="19.5" customHeight="1" x14ac:dyDescent="0.2">
      <c r="A33" s="129" t="str">
        <f>"２．麻酔の形式 ："</f>
        <v>２．麻酔の形式 ：</v>
      </c>
      <c r="B33" s="129"/>
      <c r="C33" s="129"/>
      <c r="D33" s="130">
        <f>D6</f>
        <v>0</v>
      </c>
      <c r="E33" s="130"/>
      <c r="F33" s="130"/>
      <c r="G33" s="130"/>
      <c r="H33" s="130"/>
      <c r="I33" s="130"/>
      <c r="J33" s="130"/>
      <c r="K33" s="130"/>
    </row>
    <row r="34" spans="1:11" ht="19.5" customHeight="1" x14ac:dyDescent="0.2">
      <c r="A34" s="38"/>
      <c r="B34" s="38"/>
      <c r="C34" s="38"/>
      <c r="D34" s="38"/>
      <c r="E34" s="38"/>
      <c r="F34" s="38"/>
      <c r="G34" s="38"/>
      <c r="H34" s="38"/>
      <c r="I34" s="38"/>
    </row>
    <row r="35" spans="1:11" ht="19.5" customHeight="1" x14ac:dyDescent="0.2">
      <c r="A35" s="129" t="str">
        <f>"３．手術の説明　"</f>
        <v>３．手術の説明　</v>
      </c>
      <c r="B35" s="129"/>
      <c r="C35" s="129"/>
      <c r="D35" s="38"/>
      <c r="E35" s="38"/>
      <c r="F35" s="38"/>
      <c r="G35" s="38"/>
      <c r="H35" s="38"/>
      <c r="I35" s="38"/>
    </row>
    <row r="36" spans="1:11" ht="19.5" customHeight="1" x14ac:dyDescent="0.2">
      <c r="A36"/>
      <c r="B36"/>
      <c r="C36" s="38"/>
      <c r="D36" s="38"/>
      <c r="E36" s="38"/>
      <c r="F36" s="38"/>
    </row>
    <row r="37" spans="1:11" ht="390" customHeight="1" x14ac:dyDescent="0.2">
      <c r="A37" s="38"/>
      <c r="B37" s="131">
        <f>B10</f>
        <v>0</v>
      </c>
      <c r="C37" s="131"/>
      <c r="D37" s="131"/>
      <c r="E37" s="131"/>
      <c r="F37" s="131"/>
      <c r="G37" s="131"/>
      <c r="H37" s="131"/>
      <c r="I37" s="131"/>
    </row>
    <row r="38" spans="1:11" s="39" customFormat="1" ht="19.5" customHeight="1" thickBot="1" x14ac:dyDescent="0.25">
      <c r="A38" s="39" t="s">
        <v>163</v>
      </c>
      <c r="C38" s="117"/>
      <c r="D38" s="117"/>
      <c r="E38" s="117"/>
      <c r="F38" s="117"/>
      <c r="G38" s="117"/>
      <c r="H38" s="117"/>
      <c r="I38" s="117"/>
      <c r="J38" s="117"/>
      <c r="K38" s="117"/>
    </row>
    <row r="39" spans="1:11" s="39" customFormat="1" ht="19.5" customHeight="1" x14ac:dyDescent="0.2">
      <c r="A39" s="118" t="s">
        <v>164</v>
      </c>
      <c r="B39" s="118"/>
      <c r="C39" s="119"/>
      <c r="D39" s="119"/>
      <c r="E39" s="119"/>
      <c r="F39" s="119"/>
      <c r="G39" s="119"/>
      <c r="H39" s="119"/>
      <c r="I39" s="119"/>
      <c r="J39" s="119"/>
      <c r="K39" s="119"/>
    </row>
    <row r="40" spans="1:11" s="39" customFormat="1" ht="19.5" customHeight="1" x14ac:dyDescent="0.2">
      <c r="C40" s="39" t="s">
        <v>165</v>
      </c>
      <c r="D40" s="117"/>
      <c r="E40" s="117"/>
      <c r="F40" s="117"/>
      <c r="G40" s="117"/>
      <c r="H40" s="117"/>
      <c r="I40" s="117"/>
      <c r="J40" s="117"/>
      <c r="K40" s="117"/>
    </row>
    <row r="41" spans="1:11" s="39" customFormat="1" ht="19.5" customHeight="1" x14ac:dyDescent="0.2">
      <c r="C41" s="39" t="s">
        <v>168</v>
      </c>
      <c r="D41" s="117"/>
      <c r="E41" s="117"/>
      <c r="F41" s="117"/>
      <c r="G41" s="117"/>
      <c r="H41" s="120" t="s">
        <v>169</v>
      </c>
      <c r="I41" s="132" t="s">
        <v>176</v>
      </c>
      <c r="J41" s="133"/>
      <c r="K41" s="134"/>
    </row>
    <row r="42" spans="1:11" s="39" customFormat="1" ht="19.5" customHeight="1" x14ac:dyDescent="0.2">
      <c r="C42" s="39" t="s">
        <v>166</v>
      </c>
      <c r="D42" s="117"/>
      <c r="E42" s="117"/>
      <c r="F42" s="117"/>
      <c r="G42" s="117"/>
      <c r="H42" s="117"/>
      <c r="I42" s="135"/>
      <c r="J42" s="136"/>
      <c r="K42" s="137"/>
    </row>
    <row r="43" spans="1:11" s="39" customFormat="1" ht="19.5" customHeight="1" x14ac:dyDescent="0.2">
      <c r="C43" s="39" t="s">
        <v>167</v>
      </c>
      <c r="D43" s="117"/>
      <c r="E43" s="117"/>
      <c r="F43" s="117"/>
      <c r="G43" s="117"/>
      <c r="H43" s="117"/>
      <c r="I43" s="117"/>
      <c r="J43" s="117"/>
      <c r="K43" s="117"/>
    </row>
    <row r="44" spans="1:11" s="43" customFormat="1" ht="9.9" customHeight="1" x14ac:dyDescent="0.2"/>
    <row r="45" spans="1:11" s="43" customFormat="1" ht="19.5" customHeight="1" x14ac:dyDescent="0.2">
      <c r="A45" s="45" t="s">
        <v>72</v>
      </c>
      <c r="B45" s="45"/>
      <c r="C45" s="138" t="str">
        <f>C18</f>
        <v>2014年06月26日</v>
      </c>
      <c r="D45" s="138"/>
      <c r="E45" s="138"/>
      <c r="F45" s="138"/>
      <c r="G45" s="113"/>
      <c r="I45" s="45" t="str">
        <f>I18</f>
        <v>手術日　　　　　　年　　　　月　　　　日</v>
      </c>
      <c r="J45" s="45"/>
      <c r="K45" s="45"/>
    </row>
    <row r="46" spans="1:11" s="43" customFormat="1" ht="18.75" customHeight="1" x14ac:dyDescent="0.2"/>
    <row r="47" spans="1:11" s="43" customFormat="1" ht="19.5" customHeight="1" x14ac:dyDescent="0.2">
      <c r="A47" s="45" t="s">
        <v>73</v>
      </c>
      <c r="B47" s="45"/>
      <c r="C47" s="122">
        <f>C20</f>
        <v>0</v>
      </c>
      <c r="D47" s="123"/>
      <c r="E47" s="123"/>
      <c r="F47" s="123"/>
      <c r="G47" s="114" t="s">
        <v>82</v>
      </c>
      <c r="I47" s="45" t="s">
        <v>74</v>
      </c>
      <c r="J47" s="45"/>
      <c r="K47" s="45"/>
    </row>
    <row r="48" spans="1:11" s="43" customFormat="1" ht="18.75" customHeight="1" x14ac:dyDescent="0.2"/>
    <row r="49" spans="1:12" s="43" customFormat="1" ht="19.5" customHeight="1" x14ac:dyDescent="0.2">
      <c r="A49" s="47" t="s">
        <v>77</v>
      </c>
      <c r="B49" s="47"/>
      <c r="C49" s="47"/>
    </row>
    <row r="50" spans="1:12" s="43" customFormat="1" ht="19.5" customHeight="1" x14ac:dyDescent="0.2">
      <c r="C50" s="124" t="s">
        <v>81</v>
      </c>
      <c r="D50" s="124"/>
      <c r="E50" s="124"/>
      <c r="F50" s="124"/>
      <c r="G50" s="124"/>
    </row>
    <row r="51" spans="1:12" s="43" customFormat="1" ht="18.75" customHeight="1" thickBot="1" x14ac:dyDescent="0.25"/>
    <row r="52" spans="1:12" s="43" customFormat="1" ht="39.9" customHeight="1" thickBot="1" x14ac:dyDescent="0.25">
      <c r="A52" s="125" t="s">
        <v>162</v>
      </c>
      <c r="B52" s="126"/>
      <c r="C52" s="126"/>
      <c r="D52" s="126"/>
      <c r="E52" s="126"/>
      <c r="F52" s="126"/>
      <c r="G52" s="126"/>
      <c r="H52" s="127" t="s">
        <v>170</v>
      </c>
      <c r="I52" s="127"/>
      <c r="J52" s="127"/>
      <c r="K52" s="128"/>
      <c r="L52" s="112"/>
    </row>
    <row r="53" spans="1:12" s="43" customFormat="1" ht="18.75" customHeight="1" x14ac:dyDescent="0.2"/>
    <row r="54" spans="1:12" s="43" customFormat="1" ht="19.5" customHeight="1" x14ac:dyDescent="0.2">
      <c r="A54" s="45" t="s">
        <v>76</v>
      </c>
      <c r="B54" s="45"/>
      <c r="C54" s="45"/>
      <c r="D54" s="45"/>
      <c r="E54" s="45"/>
      <c r="F54" s="115"/>
      <c r="G54" s="115"/>
      <c r="J54" s="116"/>
      <c r="K54" s="116"/>
    </row>
    <row r="55" spans="1:12" ht="9.9" customHeight="1" x14ac:dyDescent="0.2">
      <c r="H55" s="66"/>
      <c r="I55" s="64"/>
      <c r="J55" s="38"/>
      <c r="K55" s="38"/>
    </row>
    <row r="56" spans="1:12" ht="19.5" customHeight="1" x14ac:dyDescent="0.2">
      <c r="A56" s="38"/>
      <c r="B56" s="38"/>
      <c r="C56" s="44"/>
      <c r="D56" s="44"/>
      <c r="E56" s="44"/>
      <c r="F56" s="44"/>
      <c r="G56" s="44"/>
      <c r="H56" s="44"/>
      <c r="I56" s="44"/>
    </row>
    <row r="57" spans="1:12" ht="19.5" customHeight="1" x14ac:dyDescent="0.2">
      <c r="A57" s="38"/>
      <c r="B57" s="38"/>
      <c r="C57" s="44"/>
      <c r="D57" s="44"/>
      <c r="E57" s="44"/>
      <c r="F57" s="44"/>
      <c r="G57" s="44"/>
      <c r="H57" s="44"/>
      <c r="I57" s="44"/>
    </row>
    <row r="58" spans="1:12" ht="19.5" customHeight="1" x14ac:dyDescent="0.2">
      <c r="A58" s="38"/>
      <c r="B58" s="38"/>
      <c r="C58" s="44"/>
      <c r="D58" s="44"/>
      <c r="E58" s="44"/>
      <c r="F58" s="44"/>
      <c r="G58" s="44"/>
      <c r="H58" s="44"/>
      <c r="I58" s="44"/>
    </row>
    <row r="59" spans="1:12" ht="19.5" customHeight="1" x14ac:dyDescent="0.2">
      <c r="A59" s="38"/>
      <c r="B59" s="38"/>
      <c r="C59" s="44"/>
      <c r="D59" s="44"/>
      <c r="E59" s="44"/>
      <c r="F59" s="44"/>
      <c r="G59" s="44"/>
      <c r="H59" s="44"/>
      <c r="I59" s="44"/>
    </row>
    <row r="60" spans="1:12" ht="19.5" customHeight="1" x14ac:dyDescent="0.2">
      <c r="A60" s="38"/>
      <c r="B60" s="38"/>
      <c r="C60" s="44"/>
      <c r="D60" s="44"/>
      <c r="E60" s="44"/>
      <c r="F60" s="44"/>
      <c r="G60" s="44"/>
      <c r="H60" s="44"/>
      <c r="I60" s="44"/>
    </row>
    <row r="61" spans="1:12" ht="19.5" customHeight="1" x14ac:dyDescent="0.2">
      <c r="A61" s="38"/>
      <c r="B61" s="38"/>
      <c r="C61" s="44"/>
      <c r="D61" s="44"/>
      <c r="E61" s="44"/>
      <c r="F61" s="44"/>
      <c r="G61" s="44"/>
      <c r="H61" s="44"/>
      <c r="I61" s="44"/>
    </row>
    <row r="62" spans="1:12" ht="19.5" customHeight="1" x14ac:dyDescent="0.2">
      <c r="A62" s="38"/>
      <c r="B62" s="38"/>
      <c r="C62" s="44"/>
      <c r="D62" s="44"/>
      <c r="E62" s="44"/>
      <c r="F62" s="44"/>
      <c r="G62" s="44"/>
      <c r="H62" s="44"/>
      <c r="I62" s="44"/>
    </row>
    <row r="63" spans="1:12" ht="19.5" customHeight="1" x14ac:dyDescent="0.2">
      <c r="A63" s="38"/>
      <c r="B63" s="38"/>
      <c r="C63" s="44"/>
      <c r="D63" s="44"/>
      <c r="E63" s="44"/>
      <c r="F63" s="44"/>
      <c r="G63" s="44"/>
      <c r="H63" s="44"/>
      <c r="I63" s="44"/>
    </row>
    <row r="64" spans="1:12" ht="19.5" customHeight="1" x14ac:dyDescent="0.2">
      <c r="A64" s="38"/>
      <c r="B64" s="38"/>
      <c r="C64" s="44"/>
      <c r="D64" s="44"/>
      <c r="E64" s="44"/>
      <c r="F64" s="44"/>
      <c r="G64" s="44"/>
      <c r="H64" s="44"/>
      <c r="I64" s="44"/>
    </row>
    <row r="65" spans="1:9" ht="19.5" customHeight="1" x14ac:dyDescent="0.2">
      <c r="A65" s="38"/>
      <c r="B65" s="38"/>
      <c r="C65" s="44"/>
      <c r="D65" s="44"/>
      <c r="E65" s="44"/>
      <c r="F65" s="44"/>
      <c r="G65" s="44"/>
      <c r="H65" s="44"/>
      <c r="I65" s="44"/>
    </row>
    <row r="66" spans="1:9" ht="19.5" customHeight="1" x14ac:dyDescent="0.2">
      <c r="A66" s="38"/>
      <c r="B66" s="38"/>
      <c r="C66" s="44"/>
      <c r="D66" s="44"/>
      <c r="E66" s="44"/>
      <c r="F66" s="44"/>
      <c r="G66" s="44"/>
      <c r="H66" s="44"/>
      <c r="I66" s="44"/>
    </row>
    <row r="67" spans="1:9" ht="19.5" customHeight="1" x14ac:dyDescent="0.2">
      <c r="A67"/>
      <c r="B67"/>
      <c r="C67" s="44"/>
      <c r="D67" s="44"/>
      <c r="E67" s="44"/>
      <c r="F67" s="44"/>
      <c r="G67" s="44"/>
      <c r="H67" s="44"/>
      <c r="I67" s="44"/>
    </row>
    <row r="68" spans="1:9" ht="19.5" customHeight="1" x14ac:dyDescent="0.2">
      <c r="A68"/>
      <c r="B68"/>
      <c r="C68" s="44"/>
      <c r="D68" s="44"/>
      <c r="E68" s="44"/>
      <c r="F68" s="44"/>
      <c r="G68" s="44"/>
      <c r="H68" s="44"/>
      <c r="I68" s="44"/>
    </row>
    <row r="69" spans="1:9" ht="19.5" customHeight="1" x14ac:dyDescent="0.2">
      <c r="A69"/>
      <c r="B69"/>
      <c r="C69" s="44"/>
      <c r="D69" s="44"/>
      <c r="E69" s="44"/>
      <c r="F69" s="44"/>
      <c r="G69" s="44"/>
      <c r="H69" s="44"/>
      <c r="I69" s="44"/>
    </row>
    <row r="70" spans="1:9" ht="19.5" customHeight="1" x14ac:dyDescent="0.2">
      <c r="A70"/>
      <c r="B70"/>
      <c r="C70" s="44"/>
      <c r="D70" s="44"/>
      <c r="E70" s="44"/>
      <c r="F70" s="44"/>
      <c r="G70" s="44"/>
      <c r="H70" s="44"/>
      <c r="I70" s="44"/>
    </row>
    <row r="71" spans="1:9" ht="19.5" customHeight="1" x14ac:dyDescent="0.2">
      <c r="A71"/>
      <c r="B71"/>
      <c r="C71" s="44"/>
      <c r="D71" s="44"/>
      <c r="E71" s="44"/>
      <c r="F71" s="44"/>
      <c r="G71" s="44"/>
      <c r="H71" s="44"/>
      <c r="I71" s="44"/>
    </row>
    <row r="72" spans="1:9" ht="19.5" customHeight="1" x14ac:dyDescent="0.2">
      <c r="A72"/>
      <c r="B72"/>
      <c r="C72" s="44"/>
      <c r="D72" s="44"/>
      <c r="E72" s="44"/>
      <c r="F72" s="44"/>
      <c r="G72" s="44"/>
      <c r="H72" s="44"/>
      <c r="I72" s="44"/>
    </row>
    <row r="73" spans="1:9" ht="19.5" customHeight="1" x14ac:dyDescent="0.2">
      <c r="A73"/>
      <c r="B73"/>
      <c r="C73" s="44"/>
      <c r="D73" s="44"/>
      <c r="E73" s="44"/>
      <c r="F73" s="44"/>
      <c r="G73" s="44"/>
      <c r="H73" s="44"/>
      <c r="I73" s="44"/>
    </row>
    <row r="74" spans="1:9" ht="19.5" customHeight="1" x14ac:dyDescent="0.2">
      <c r="A74"/>
      <c r="B74"/>
      <c r="C74" s="44"/>
      <c r="D74" s="44"/>
      <c r="E74" s="44"/>
      <c r="F74" s="44"/>
      <c r="G74" s="44"/>
      <c r="H74" s="44"/>
      <c r="I74" s="44"/>
    </row>
    <row r="75" spans="1:9" ht="19.5" customHeight="1" x14ac:dyDescent="0.2">
      <c r="A75"/>
      <c r="B75"/>
      <c r="C75" s="44"/>
      <c r="D75" s="44"/>
      <c r="E75" s="44"/>
      <c r="F75" s="44"/>
      <c r="G75" s="44"/>
      <c r="H75" s="44"/>
      <c r="I75" s="44"/>
    </row>
    <row r="76" spans="1:9" ht="19.5" customHeight="1" x14ac:dyDescent="0.2">
      <c r="A76"/>
      <c r="B76"/>
      <c r="C76" s="44"/>
      <c r="D76" s="44"/>
      <c r="E76" s="44"/>
      <c r="F76" s="44"/>
      <c r="G76" s="44"/>
      <c r="H76" s="44"/>
      <c r="I76" s="44"/>
    </row>
    <row r="77" spans="1:9" ht="19.5" customHeight="1" x14ac:dyDescent="0.2">
      <c r="A77"/>
      <c r="B77"/>
      <c r="C77" s="44"/>
      <c r="D77" s="44"/>
      <c r="E77" s="44"/>
      <c r="F77" s="44"/>
      <c r="G77" s="44"/>
      <c r="H77" s="44"/>
      <c r="I77" s="44"/>
    </row>
    <row r="78" spans="1:9" ht="19.5" customHeight="1" x14ac:dyDescent="0.2">
      <c r="A78"/>
      <c r="B78"/>
      <c r="C78" s="44"/>
      <c r="D78" s="44"/>
      <c r="E78" s="44"/>
      <c r="F78" s="44"/>
      <c r="G78" s="44"/>
      <c r="H78" s="44"/>
      <c r="I78" s="44"/>
    </row>
    <row r="79" spans="1:9" ht="19.5" customHeight="1" x14ac:dyDescent="0.2">
      <c r="A79"/>
      <c r="B79"/>
      <c r="C79" s="44"/>
      <c r="D79" s="44"/>
      <c r="E79" s="44"/>
      <c r="F79" s="44"/>
      <c r="G79" s="44"/>
      <c r="H79" s="44"/>
      <c r="I79" s="44"/>
    </row>
    <row r="80" spans="1:9" ht="19.5" customHeight="1" x14ac:dyDescent="0.2">
      <c r="A80"/>
      <c r="B80"/>
      <c r="C80" s="44"/>
      <c r="D80" s="44"/>
      <c r="E80" s="44"/>
      <c r="F80" s="44"/>
      <c r="G80" s="44"/>
      <c r="H80" s="44"/>
      <c r="I80" s="44"/>
    </row>
    <row r="81" spans="1:2" x14ac:dyDescent="0.2">
      <c r="A81"/>
      <c r="B81"/>
    </row>
    <row r="82" spans="1:2" x14ac:dyDescent="0.2">
      <c r="A82"/>
      <c r="B82"/>
    </row>
    <row r="83" spans="1:2" x14ac:dyDescent="0.2">
      <c r="A83"/>
      <c r="B83"/>
    </row>
    <row r="84" spans="1:2" x14ac:dyDescent="0.2">
      <c r="A84"/>
      <c r="B84"/>
    </row>
    <row r="85" spans="1:2" x14ac:dyDescent="0.2">
      <c r="A85"/>
      <c r="B85"/>
    </row>
    <row r="86" spans="1:2" x14ac:dyDescent="0.2">
      <c r="A86"/>
      <c r="B86"/>
    </row>
    <row r="87" spans="1:2" x14ac:dyDescent="0.2">
      <c r="A87"/>
      <c r="B87"/>
    </row>
    <row r="88" spans="1:2" x14ac:dyDescent="0.2">
      <c r="A88"/>
      <c r="B88"/>
    </row>
    <row r="89" spans="1:2" x14ac:dyDescent="0.2">
      <c r="A89"/>
      <c r="B89"/>
    </row>
    <row r="90" spans="1:2" x14ac:dyDescent="0.2">
      <c r="A90"/>
      <c r="B90"/>
    </row>
    <row r="91" spans="1:2" x14ac:dyDescent="0.2">
      <c r="A91"/>
      <c r="B91"/>
    </row>
    <row r="92" spans="1:2" x14ac:dyDescent="0.2">
      <c r="A92"/>
      <c r="B92"/>
    </row>
    <row r="93" spans="1:2" x14ac:dyDescent="0.2">
      <c r="A93"/>
      <c r="B93"/>
    </row>
    <row r="94" spans="1:2" x14ac:dyDescent="0.2">
      <c r="A94"/>
      <c r="B94"/>
    </row>
    <row r="95" spans="1:2" x14ac:dyDescent="0.2">
      <c r="A95"/>
      <c r="B95"/>
    </row>
    <row r="96" spans="1:2" x14ac:dyDescent="0.2">
      <c r="A96"/>
      <c r="B96"/>
    </row>
    <row r="97" spans="1:2" x14ac:dyDescent="0.2">
      <c r="A97"/>
      <c r="B97"/>
    </row>
    <row r="98" spans="1:2" x14ac:dyDescent="0.2">
      <c r="A98"/>
      <c r="B98"/>
    </row>
    <row r="99" spans="1:2" x14ac:dyDescent="0.2">
      <c r="A99"/>
      <c r="B99"/>
    </row>
    <row r="100" spans="1:2" x14ac:dyDescent="0.2">
      <c r="A100"/>
      <c r="B100"/>
    </row>
    <row r="101" spans="1:2" x14ac:dyDescent="0.2">
      <c r="A101"/>
      <c r="B101"/>
    </row>
    <row r="102" spans="1:2" x14ac:dyDescent="0.2">
      <c r="A102"/>
      <c r="B102"/>
    </row>
    <row r="103" spans="1:2" x14ac:dyDescent="0.2">
      <c r="A103"/>
      <c r="B103"/>
    </row>
    <row r="104" spans="1:2" x14ac:dyDescent="0.2">
      <c r="A104"/>
      <c r="B104"/>
    </row>
    <row r="105" spans="1:2" x14ac:dyDescent="0.2">
      <c r="A105"/>
      <c r="B105"/>
    </row>
    <row r="106" spans="1:2" x14ac:dyDescent="0.2">
      <c r="A106"/>
      <c r="B106"/>
    </row>
    <row r="107" spans="1:2" x14ac:dyDescent="0.2">
      <c r="A107"/>
      <c r="B107"/>
    </row>
    <row r="108" spans="1:2" x14ac:dyDescent="0.2">
      <c r="A108"/>
      <c r="B108"/>
    </row>
    <row r="109" spans="1:2" x14ac:dyDescent="0.2">
      <c r="A109"/>
      <c r="B109"/>
    </row>
    <row r="110" spans="1:2" x14ac:dyDescent="0.2">
      <c r="A110"/>
      <c r="B110"/>
    </row>
    <row r="111" spans="1:2" x14ac:dyDescent="0.2">
      <c r="A111"/>
      <c r="B111"/>
    </row>
    <row r="112" spans="1:2" x14ac:dyDescent="0.2">
      <c r="A112"/>
      <c r="B112"/>
    </row>
    <row r="113" spans="1:2" x14ac:dyDescent="0.2">
      <c r="A113"/>
      <c r="B113"/>
    </row>
  </sheetData>
  <mergeCells count="28">
    <mergeCell ref="I14:K15"/>
    <mergeCell ref="C18:F18"/>
    <mergeCell ref="B37:I37"/>
    <mergeCell ref="A35:C35"/>
    <mergeCell ref="A31:C31"/>
    <mergeCell ref="A33:C33"/>
    <mergeCell ref="C23:G23"/>
    <mergeCell ref="A25:G25"/>
    <mergeCell ref="H25:K25"/>
    <mergeCell ref="A2:I2"/>
    <mergeCell ref="A4:C4"/>
    <mergeCell ref="A6:C6"/>
    <mergeCell ref="A8:C8"/>
    <mergeCell ref="B10:I10"/>
    <mergeCell ref="I3:K3"/>
    <mergeCell ref="D6:K6"/>
    <mergeCell ref="F4:K4"/>
    <mergeCell ref="A52:G52"/>
    <mergeCell ref="H52:K52"/>
    <mergeCell ref="C20:F20"/>
    <mergeCell ref="A29:I29"/>
    <mergeCell ref="I41:K42"/>
    <mergeCell ref="C45:F45"/>
    <mergeCell ref="C47:F47"/>
    <mergeCell ref="C50:G50"/>
    <mergeCell ref="D33:K33"/>
    <mergeCell ref="F31:K31"/>
    <mergeCell ref="I30:K30"/>
  </mergeCells>
  <phoneticPr fontId="3"/>
  <pageMargins left="0.19685039370078741" right="0.19685039370078741" top="0.19685039370078741" bottom="0.19685039370078741" header="0.51181102362204722" footer="0.51181102362204722"/>
  <pageSetup paperSize="9" scale="94" orientation="portrait" horizontalDpi="300" r:id="rId1"/>
  <headerFooter alignWithMargins="0"/>
  <rowBreaks count="1" manualBreakCount="1">
    <brk id="28" max="10" man="1"/>
  </rowBreaks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13</xdr:col>
                <xdr:colOff>213360</xdr:colOff>
                <xdr:row>2</xdr:row>
                <xdr:rowOff>160020</xdr:rowOff>
              </from>
              <to>
                <xdr:col>15</xdr:col>
                <xdr:colOff>38100</xdr:colOff>
                <xdr:row>4</xdr:row>
                <xdr:rowOff>38100</xdr:rowOff>
              </to>
            </anchor>
          </controlPr>
        </control>
      </mc:Choice>
      <mc:Fallback>
        <control shapeId="1026" r:id="rId4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E6EFCA-07F6-4A35-A2F1-BF66E54D5C63}">
  <sheetPr codeName="Sheet35"/>
  <dimension ref="A1:N136"/>
  <sheetViews>
    <sheetView zoomScaleNormal="100" workbookViewId="0">
      <selection activeCell="N4" sqref="N4"/>
    </sheetView>
  </sheetViews>
  <sheetFormatPr defaultRowHeight="13.2" x14ac:dyDescent="0.2"/>
  <cols>
    <col min="1" max="1" width="17.44140625" customWidth="1"/>
    <col min="2" max="2" width="7.44140625" customWidth="1"/>
    <col min="3" max="3" width="3" customWidth="1"/>
    <col min="4" max="4" width="16.77734375" style="37" customWidth="1"/>
    <col min="5" max="11" width="8.109375" customWidth="1"/>
  </cols>
  <sheetData>
    <row r="1" spans="1:14" ht="12.75" customHeight="1" x14ac:dyDescent="0.2"/>
    <row r="2" spans="1:14" ht="38.25" customHeight="1" x14ac:dyDescent="0.2">
      <c r="A2" s="147" t="s">
        <v>50</v>
      </c>
      <c r="B2" s="147"/>
      <c r="C2" s="147"/>
      <c r="D2" s="147"/>
      <c r="E2" s="147"/>
      <c r="F2" s="147"/>
      <c r="G2" s="147"/>
      <c r="H2" s="147"/>
      <c r="I2" s="147"/>
      <c r="J2" s="147"/>
      <c r="K2" s="147"/>
    </row>
    <row r="3" spans="1:14" ht="12" customHeight="1" x14ac:dyDescent="0.2">
      <c r="A3" s="143" t="s">
        <v>186</v>
      </c>
      <c r="B3" s="143"/>
      <c r="C3" s="143"/>
      <c r="D3" s="143"/>
      <c r="H3" s="39"/>
      <c r="I3" s="39"/>
      <c r="J3" s="39"/>
      <c r="K3" s="40"/>
      <c r="N3" s="41"/>
    </row>
    <row r="4" spans="1:14" ht="18.75" customHeight="1" x14ac:dyDescent="0.2">
      <c r="A4" s="143"/>
      <c r="B4" s="143"/>
      <c r="C4" s="143"/>
      <c r="D4" s="143"/>
      <c r="G4" s="165"/>
      <c r="H4" s="166"/>
      <c r="I4" s="166"/>
      <c r="J4" s="39"/>
      <c r="K4" s="40" t="s">
        <v>51</v>
      </c>
    </row>
    <row r="5" spans="1:14" ht="18" customHeight="1" x14ac:dyDescent="0.2">
      <c r="A5" s="143"/>
      <c r="B5" s="143"/>
      <c r="C5" s="143"/>
      <c r="D5" s="143"/>
      <c r="E5" s="123" t="s">
        <v>52</v>
      </c>
      <c r="F5" s="123"/>
      <c r="G5" s="155" t="str">
        <f>共通情報!D3&amp;"　様"</f>
        <v>ざく　ざく情報室以外使用禁止　様</v>
      </c>
      <c r="H5" s="155"/>
      <c r="I5" s="57" t="s">
        <v>68</v>
      </c>
      <c r="J5" s="58" t="str">
        <f>共通情報!B3</f>
        <v>006000000</v>
      </c>
      <c r="K5" s="59" t="s">
        <v>67</v>
      </c>
    </row>
    <row r="6" spans="1:14" ht="10.5" customHeight="1" x14ac:dyDescent="0.2">
      <c r="D6"/>
      <c r="E6" s="43"/>
      <c r="F6" s="43"/>
      <c r="G6" s="43"/>
      <c r="H6" s="43"/>
      <c r="I6" s="46"/>
      <c r="J6" s="46"/>
      <c r="K6" s="43"/>
    </row>
    <row r="7" spans="1:14" ht="18" customHeight="1" x14ac:dyDescent="0.2">
      <c r="D7"/>
      <c r="E7" s="123" t="s">
        <v>48</v>
      </c>
      <c r="F7" s="123"/>
      <c r="G7" s="164">
        <f>共通情報!B27</f>
        <v>0</v>
      </c>
      <c r="H7" s="149"/>
      <c r="I7" s="149"/>
      <c r="J7" s="45"/>
      <c r="K7" s="45"/>
    </row>
    <row r="8" spans="1:14" ht="10.5" customHeight="1" x14ac:dyDescent="0.2">
      <c r="D8"/>
      <c r="E8" s="46"/>
      <c r="F8" s="46"/>
      <c r="G8" s="47"/>
      <c r="H8" s="47"/>
      <c r="I8" s="47"/>
      <c r="J8" s="43"/>
      <c r="K8" s="43"/>
    </row>
    <row r="9" spans="1:14" ht="18" customHeight="1" x14ac:dyDescent="0.2">
      <c r="D9"/>
      <c r="E9" s="123" t="s">
        <v>49</v>
      </c>
      <c r="F9" s="123"/>
      <c r="G9" s="149">
        <f>共通情報!D28</f>
        <v>0</v>
      </c>
      <c r="H9" s="149"/>
      <c r="I9" s="149"/>
      <c r="J9" s="149"/>
      <c r="K9" s="149"/>
    </row>
    <row r="10" spans="1:14" ht="10.5" customHeight="1" x14ac:dyDescent="0.2">
      <c r="D10"/>
      <c r="E10" s="46"/>
      <c r="F10" s="46"/>
      <c r="G10" s="47"/>
      <c r="H10" s="47"/>
      <c r="I10" s="47"/>
      <c r="J10" s="47"/>
      <c r="K10" s="47"/>
    </row>
    <row r="11" spans="1:14" ht="18" customHeight="1" x14ac:dyDescent="0.2">
      <c r="D11"/>
      <c r="E11" s="123" t="s">
        <v>154</v>
      </c>
      <c r="F11" s="123"/>
      <c r="G11" s="149"/>
      <c r="H11" s="149"/>
      <c r="I11" s="149"/>
      <c r="J11" s="149"/>
      <c r="K11" s="149"/>
    </row>
    <row r="12" spans="1:14" ht="11.25" customHeight="1" x14ac:dyDescent="0.2">
      <c r="D12"/>
    </row>
    <row r="13" spans="1:14" ht="18.75" customHeight="1" x14ac:dyDescent="0.2">
      <c r="A13" s="48" t="s">
        <v>40</v>
      </c>
      <c r="B13" s="51">
        <f>共通情報!B28</f>
        <v>0</v>
      </c>
      <c r="C13" s="49" t="s">
        <v>64</v>
      </c>
      <c r="D13" s="153">
        <f>共通情報!B30</f>
        <v>0</v>
      </c>
      <c r="E13" s="153"/>
      <c r="F13" s="153"/>
      <c r="G13" s="153"/>
      <c r="H13" s="153"/>
      <c r="I13" s="153"/>
      <c r="J13" s="153"/>
      <c r="K13" s="154"/>
    </row>
    <row r="14" spans="1:14" ht="18.75" customHeight="1" x14ac:dyDescent="0.2">
      <c r="A14" s="48" t="s">
        <v>43</v>
      </c>
      <c r="B14" s="150">
        <f>共通情報!B32</f>
        <v>0</v>
      </c>
      <c r="C14" s="151"/>
      <c r="D14" s="151"/>
      <c r="E14" s="151"/>
      <c r="F14" s="151"/>
      <c r="G14" s="151"/>
      <c r="H14" s="151"/>
      <c r="I14" s="151"/>
      <c r="J14" s="151"/>
      <c r="K14" s="152"/>
    </row>
    <row r="15" spans="1:14" ht="45" customHeight="1" x14ac:dyDescent="0.2">
      <c r="A15" s="48" t="s">
        <v>44</v>
      </c>
      <c r="B15" s="150">
        <f>共通情報!B33</f>
        <v>0</v>
      </c>
      <c r="C15" s="151"/>
      <c r="D15" s="151"/>
      <c r="E15" s="151"/>
      <c r="F15" s="151"/>
      <c r="G15" s="151"/>
      <c r="H15" s="151"/>
      <c r="I15" s="151"/>
      <c r="J15" s="151"/>
      <c r="K15" s="152"/>
    </row>
    <row r="16" spans="1:14" ht="45" customHeight="1" x14ac:dyDescent="0.2">
      <c r="A16" s="48" t="s">
        <v>69</v>
      </c>
      <c r="B16" s="144" t="str">
        <f>"　  　　年　　月　　日に"&amp;共通情報!B28&amp;"眼の"&amp;共通情報!B29&amp;"を行います。"</f>
        <v>　  　　年　　月　　日に眼のを行います。</v>
      </c>
      <c r="C16" s="162"/>
      <c r="D16" s="162"/>
      <c r="E16" s="162"/>
      <c r="F16" s="162"/>
      <c r="G16" s="162"/>
      <c r="H16" s="162"/>
      <c r="I16" s="162"/>
      <c r="J16" s="162"/>
      <c r="K16" s="163"/>
    </row>
    <row r="17" spans="1:12" ht="320.10000000000002" customHeight="1" x14ac:dyDescent="0.2">
      <c r="A17" s="48" t="s">
        <v>53</v>
      </c>
      <c r="B17" s="159">
        <f>IF(共通情報!D30="局所麻酔", 共通情報!B31 &amp; CHAR(10) &amp; 共通情報!B36, 共通情報!B31)</f>
        <v>0</v>
      </c>
      <c r="C17" s="160"/>
      <c r="D17" s="160"/>
      <c r="E17" s="160"/>
      <c r="F17" s="160"/>
      <c r="G17" s="160"/>
      <c r="H17" s="160"/>
      <c r="I17" s="160"/>
      <c r="J17" s="160"/>
      <c r="K17" s="161"/>
    </row>
    <row r="18" spans="1:12" s="39" customFormat="1" ht="19.5" customHeight="1" thickBot="1" x14ac:dyDescent="0.25">
      <c r="A18" s="39" t="s">
        <v>163</v>
      </c>
      <c r="C18" s="117"/>
      <c r="D18" s="117"/>
      <c r="E18" s="117"/>
      <c r="F18" s="117"/>
      <c r="G18" s="117"/>
      <c r="H18" s="117"/>
      <c r="I18" s="117"/>
      <c r="J18" s="117"/>
      <c r="K18" s="117"/>
    </row>
    <row r="19" spans="1:12" s="39" customFormat="1" ht="19.5" customHeight="1" x14ac:dyDescent="0.2">
      <c r="A19" s="118" t="s">
        <v>164</v>
      </c>
      <c r="B19" s="118"/>
      <c r="C19" s="119"/>
      <c r="D19" s="119"/>
      <c r="E19" s="119"/>
      <c r="F19" s="119"/>
      <c r="G19" s="119"/>
      <c r="H19" s="119"/>
      <c r="I19" s="119"/>
      <c r="J19" s="119"/>
      <c r="K19" s="119"/>
    </row>
    <row r="20" spans="1:12" s="39" customFormat="1" ht="19.5" customHeight="1" x14ac:dyDescent="0.2">
      <c r="B20" s="39" t="s">
        <v>165</v>
      </c>
      <c r="C20" s="117"/>
      <c r="D20" s="117"/>
      <c r="E20" s="117"/>
      <c r="F20" s="117"/>
      <c r="G20" s="117"/>
      <c r="H20" s="117"/>
      <c r="I20" s="117"/>
      <c r="J20" s="117"/>
      <c r="K20" s="117"/>
    </row>
    <row r="21" spans="1:12" s="39" customFormat="1" ht="19.5" customHeight="1" x14ac:dyDescent="0.2">
      <c r="B21" s="39" t="s">
        <v>168</v>
      </c>
      <c r="C21" s="117"/>
      <c r="D21" s="117"/>
      <c r="E21" s="117"/>
      <c r="F21" s="121" t="s">
        <v>169</v>
      </c>
      <c r="G21" s="132" t="s">
        <v>174</v>
      </c>
      <c r="H21" s="133"/>
      <c r="I21" s="133"/>
      <c r="J21" s="133"/>
      <c r="K21" s="134"/>
    </row>
    <row r="22" spans="1:12" s="39" customFormat="1" ht="19.5" customHeight="1" x14ac:dyDescent="0.2">
      <c r="B22" s="39" t="s">
        <v>166</v>
      </c>
      <c r="C22" s="117"/>
      <c r="D22" s="117"/>
      <c r="E22" s="117"/>
      <c r="F22" s="117"/>
      <c r="G22" s="135"/>
      <c r="H22" s="136"/>
      <c r="I22" s="136"/>
      <c r="J22" s="136"/>
      <c r="K22" s="137"/>
    </row>
    <row r="23" spans="1:12" s="39" customFormat="1" ht="19.5" customHeight="1" x14ac:dyDescent="0.2">
      <c r="B23" s="39" t="s">
        <v>167</v>
      </c>
      <c r="C23" s="117"/>
      <c r="D23" s="117"/>
      <c r="E23" s="117"/>
      <c r="F23" s="117"/>
      <c r="G23" s="117"/>
      <c r="H23" s="117"/>
      <c r="I23" s="117"/>
      <c r="J23" s="117"/>
      <c r="K23" s="117"/>
    </row>
    <row r="24" spans="1:12" s="39" customFormat="1" ht="19.5" customHeight="1" x14ac:dyDescent="0.2">
      <c r="D24" s="117"/>
      <c r="E24" s="117"/>
      <c r="F24" s="117"/>
      <c r="G24" s="117"/>
      <c r="H24" s="117"/>
      <c r="I24" s="117"/>
      <c r="J24" s="117"/>
      <c r="K24" s="117"/>
    </row>
    <row r="25" spans="1:12" s="43" customFormat="1" ht="19.5" customHeight="1" x14ac:dyDescent="0.2">
      <c r="A25" s="47" t="s">
        <v>77</v>
      </c>
      <c r="B25" s="47"/>
      <c r="C25" s="47"/>
    </row>
    <row r="26" spans="1:12" s="43" customFormat="1" ht="19.5" customHeight="1" x14ac:dyDescent="0.2">
      <c r="B26" s="45" t="s">
        <v>173</v>
      </c>
      <c r="C26" s="45"/>
      <c r="D26" s="115"/>
      <c r="E26" s="115"/>
      <c r="F26" s="116"/>
      <c r="G26" s="116"/>
    </row>
    <row r="27" spans="1:12" s="43" customFormat="1" ht="18.75" customHeight="1" thickBot="1" x14ac:dyDescent="0.25"/>
    <row r="28" spans="1:12" s="43" customFormat="1" ht="39.9" customHeight="1" thickBot="1" x14ac:dyDescent="0.25">
      <c r="A28" s="125" t="s">
        <v>162</v>
      </c>
      <c r="B28" s="126"/>
      <c r="C28" s="126"/>
      <c r="D28" s="126"/>
      <c r="E28" s="127" t="s">
        <v>170</v>
      </c>
      <c r="F28" s="127"/>
      <c r="G28" s="127"/>
      <c r="H28" s="127"/>
      <c r="I28" s="127"/>
      <c r="J28" s="127"/>
      <c r="K28" s="128"/>
      <c r="L28" s="112"/>
    </row>
    <row r="29" spans="1:12" s="43" customFormat="1" ht="18.75" customHeight="1" x14ac:dyDescent="0.2"/>
    <row r="30" spans="1:12" s="43" customFormat="1" ht="19.5" customHeight="1" x14ac:dyDescent="0.2">
      <c r="A30" s="45" t="s">
        <v>76</v>
      </c>
      <c r="B30" s="45"/>
      <c r="C30" s="45"/>
      <c r="D30" s="45"/>
      <c r="F30" s="116"/>
      <c r="G30" s="116"/>
      <c r="J30" s="116"/>
      <c r="K30" s="116"/>
    </row>
    <row r="31" spans="1:12" ht="9.9" customHeight="1" x14ac:dyDescent="0.2">
      <c r="A31" s="37"/>
      <c r="B31" s="37"/>
      <c r="D31"/>
      <c r="H31" s="66"/>
      <c r="I31" s="64"/>
      <c r="J31" s="38"/>
      <c r="K31" s="38"/>
    </row>
    <row r="32" spans="1:12" ht="22.5" customHeight="1" x14ac:dyDescent="0.2">
      <c r="A32" s="147" t="s">
        <v>50</v>
      </c>
      <c r="B32" s="147"/>
      <c r="C32" s="147"/>
      <c r="D32" s="147"/>
      <c r="E32" s="147"/>
      <c r="F32" s="147"/>
      <c r="G32" s="147"/>
      <c r="H32" s="147"/>
      <c r="I32" s="147"/>
      <c r="J32" s="147"/>
      <c r="K32" s="147"/>
    </row>
    <row r="33" spans="1:11" ht="19.5" customHeight="1" x14ac:dyDescent="0.2">
      <c r="A33" s="143" t="s">
        <v>186</v>
      </c>
      <c r="B33" s="143"/>
      <c r="C33" s="143"/>
      <c r="D33" s="143"/>
      <c r="H33" s="39"/>
      <c r="I33" s="39"/>
      <c r="J33" s="39"/>
      <c r="K33" s="40" t="s">
        <v>47</v>
      </c>
    </row>
    <row r="34" spans="1:11" ht="19.5" customHeight="1" x14ac:dyDescent="0.2">
      <c r="A34" s="143"/>
      <c r="B34" s="143"/>
      <c r="C34" s="143"/>
      <c r="D34" s="143"/>
      <c r="H34" s="39"/>
      <c r="I34" s="39"/>
      <c r="J34" s="39"/>
      <c r="K34" s="39"/>
    </row>
    <row r="35" spans="1:11" ht="19.5" customHeight="1" x14ac:dyDescent="0.2">
      <c r="A35" s="143"/>
      <c r="B35" s="143"/>
      <c r="C35" s="143"/>
      <c r="D35" s="143"/>
      <c r="E35" s="123" t="s">
        <v>52</v>
      </c>
      <c r="F35" s="123"/>
      <c r="G35" s="155" t="str">
        <f>G5</f>
        <v>ざく　ざく情報室以外使用禁止　様</v>
      </c>
      <c r="H35" s="155"/>
      <c r="I35" s="57" t="s">
        <v>68</v>
      </c>
      <c r="J35" s="58" t="str">
        <f>J5</f>
        <v>006000000</v>
      </c>
      <c r="K35" s="59" t="s">
        <v>64</v>
      </c>
    </row>
    <row r="36" spans="1:11" ht="9.75" customHeight="1" x14ac:dyDescent="0.2">
      <c r="D36" s="38"/>
      <c r="E36" s="43"/>
      <c r="F36" s="43"/>
      <c r="G36" s="43"/>
      <c r="H36" s="43"/>
      <c r="I36" s="43"/>
      <c r="J36" s="43"/>
      <c r="K36" s="43"/>
    </row>
    <row r="37" spans="1:11" ht="19.5" customHeight="1" x14ac:dyDescent="0.2">
      <c r="D37" s="38"/>
      <c r="E37" s="123" t="str">
        <f>E7</f>
        <v>主治医</v>
      </c>
      <c r="F37" s="123"/>
      <c r="G37" s="149">
        <f>G7</f>
        <v>0</v>
      </c>
      <c r="H37" s="149"/>
      <c r="I37" s="149"/>
      <c r="J37" s="43"/>
      <c r="K37" s="43"/>
    </row>
    <row r="38" spans="1:11" ht="9.75" customHeight="1" x14ac:dyDescent="0.2">
      <c r="D38" s="38"/>
      <c r="E38" s="46"/>
      <c r="F38" s="46"/>
      <c r="G38" s="47"/>
      <c r="H38" s="47"/>
      <c r="I38" s="47"/>
      <c r="J38" s="43"/>
      <c r="K38" s="43"/>
    </row>
    <row r="39" spans="1:11" ht="19.5" customHeight="1" x14ac:dyDescent="0.2">
      <c r="D39" s="38"/>
      <c r="E39" s="123" t="str">
        <f>E9</f>
        <v>担当医</v>
      </c>
      <c r="F39" s="123"/>
      <c r="G39" s="149">
        <f>G9</f>
        <v>0</v>
      </c>
      <c r="H39" s="149"/>
      <c r="I39" s="149"/>
      <c r="J39" s="149"/>
      <c r="K39" s="149"/>
    </row>
    <row r="40" spans="1:11" ht="9.75" customHeight="1" x14ac:dyDescent="0.2">
      <c r="D40" s="38"/>
      <c r="E40" s="46"/>
      <c r="F40" s="46"/>
      <c r="G40" s="47"/>
      <c r="H40" s="47"/>
      <c r="I40" s="47"/>
      <c r="J40" s="47"/>
      <c r="K40" s="47"/>
    </row>
    <row r="41" spans="1:11" ht="19.5" customHeight="1" x14ac:dyDescent="0.2">
      <c r="B41" s="38"/>
      <c r="C41" s="38"/>
      <c r="D41" s="38"/>
      <c r="E41" s="123" t="s">
        <v>154</v>
      </c>
      <c r="F41" s="123"/>
      <c r="G41" s="149"/>
      <c r="H41" s="149"/>
      <c r="I41" s="149"/>
      <c r="J41" s="149"/>
      <c r="K41" s="149"/>
    </row>
    <row r="42" spans="1:11" ht="9.75" customHeight="1" x14ac:dyDescent="0.2">
      <c r="B42" s="38"/>
      <c r="C42" s="38"/>
      <c r="D42" s="38"/>
      <c r="E42" s="42"/>
      <c r="F42" s="38"/>
      <c r="G42" s="38"/>
      <c r="H42" s="38"/>
      <c r="I42" s="38"/>
      <c r="J42" s="38"/>
      <c r="K42" s="38"/>
    </row>
    <row r="43" spans="1:11" ht="22.5" customHeight="1" x14ac:dyDescent="0.2">
      <c r="A43" s="48" t="s">
        <v>40</v>
      </c>
      <c r="B43" s="50">
        <f>B13</f>
        <v>0</v>
      </c>
      <c r="C43" s="52" t="s">
        <v>64</v>
      </c>
      <c r="D43" s="153">
        <f>D13</f>
        <v>0</v>
      </c>
      <c r="E43" s="153"/>
      <c r="F43" s="153"/>
      <c r="G43" s="153"/>
      <c r="H43" s="153"/>
      <c r="I43" s="153"/>
      <c r="J43" s="153"/>
      <c r="K43" s="154"/>
    </row>
    <row r="44" spans="1:11" ht="22.5" customHeight="1" x14ac:dyDescent="0.2">
      <c r="A44" s="48" t="s">
        <v>43</v>
      </c>
      <c r="B44" s="156">
        <f>B14</f>
        <v>0</v>
      </c>
      <c r="C44" s="157"/>
      <c r="D44" s="157"/>
      <c r="E44" s="157"/>
      <c r="F44" s="157"/>
      <c r="G44" s="157"/>
      <c r="H44" s="157"/>
      <c r="I44" s="157"/>
      <c r="J44" s="157"/>
      <c r="K44" s="158"/>
    </row>
    <row r="45" spans="1:11" ht="45" customHeight="1" x14ac:dyDescent="0.2">
      <c r="A45" s="48" t="s">
        <v>44</v>
      </c>
      <c r="B45" s="150">
        <f>B15</f>
        <v>0</v>
      </c>
      <c r="C45" s="151"/>
      <c r="D45" s="151"/>
      <c r="E45" s="151"/>
      <c r="F45" s="151"/>
      <c r="G45" s="151"/>
      <c r="H45" s="151"/>
      <c r="I45" s="151"/>
      <c r="J45" s="151"/>
      <c r="K45" s="152"/>
    </row>
    <row r="46" spans="1:11" ht="45" customHeight="1" x14ac:dyDescent="0.2">
      <c r="A46" s="48" t="s">
        <v>69</v>
      </c>
      <c r="B46" s="144" t="str">
        <f>B16</f>
        <v>　  　　年　　月　　日に眼のを行います。</v>
      </c>
      <c r="C46" s="145"/>
      <c r="D46" s="145"/>
      <c r="E46" s="145"/>
      <c r="F46" s="145"/>
      <c r="G46" s="145"/>
      <c r="H46" s="145"/>
      <c r="I46" s="145"/>
      <c r="J46" s="145"/>
      <c r="K46" s="146"/>
    </row>
    <row r="47" spans="1:11" ht="319.5" customHeight="1" x14ac:dyDescent="0.2">
      <c r="A47" s="48" t="s">
        <v>53</v>
      </c>
      <c r="B47" s="148">
        <f>B17</f>
        <v>0</v>
      </c>
      <c r="C47" s="148"/>
      <c r="D47" s="148"/>
      <c r="E47" s="148"/>
      <c r="F47" s="148"/>
      <c r="G47" s="148"/>
      <c r="H47" s="148"/>
      <c r="I47" s="148"/>
      <c r="J47" s="148"/>
      <c r="K47" s="148"/>
    </row>
    <row r="48" spans="1:11" s="39" customFormat="1" ht="19.5" customHeight="1" thickBot="1" x14ac:dyDescent="0.25">
      <c r="A48" s="39" t="s">
        <v>163</v>
      </c>
      <c r="C48" s="117"/>
      <c r="D48" s="117"/>
      <c r="E48" s="117"/>
      <c r="F48" s="117"/>
      <c r="G48" s="117"/>
      <c r="H48" s="117"/>
      <c r="I48" s="117"/>
      <c r="J48" s="117"/>
      <c r="K48" s="117"/>
    </row>
    <row r="49" spans="1:12" s="39" customFormat="1" ht="19.5" customHeight="1" x14ac:dyDescent="0.2">
      <c r="A49" s="118" t="s">
        <v>164</v>
      </c>
      <c r="B49" s="118"/>
      <c r="C49" s="119"/>
      <c r="D49" s="119"/>
      <c r="E49" s="119"/>
      <c r="F49" s="119"/>
      <c r="G49" s="119"/>
      <c r="H49" s="119"/>
      <c r="I49" s="119"/>
      <c r="J49" s="119"/>
      <c r="K49" s="119"/>
    </row>
    <row r="50" spans="1:12" s="39" customFormat="1" ht="19.5" customHeight="1" x14ac:dyDescent="0.2">
      <c r="B50" s="39" t="s">
        <v>172</v>
      </c>
      <c r="C50" s="117"/>
      <c r="D50" s="117"/>
      <c r="E50" s="117"/>
      <c r="F50" s="117"/>
      <c r="G50" s="117"/>
      <c r="H50" s="117"/>
      <c r="I50" s="117"/>
      <c r="J50" s="117"/>
      <c r="K50" s="117"/>
    </row>
    <row r="51" spans="1:12" s="39" customFormat="1" ht="19.5" customHeight="1" x14ac:dyDescent="0.2">
      <c r="B51" s="39" t="s">
        <v>168</v>
      </c>
      <c r="C51" s="117"/>
      <c r="D51" s="117"/>
      <c r="E51" s="117"/>
      <c r="F51" s="121" t="s">
        <v>169</v>
      </c>
      <c r="G51" s="132" t="s">
        <v>175</v>
      </c>
      <c r="H51" s="133"/>
      <c r="I51" s="133"/>
      <c r="J51" s="133"/>
      <c r="K51" s="134"/>
    </row>
    <row r="52" spans="1:12" s="39" customFormat="1" ht="19.5" customHeight="1" x14ac:dyDescent="0.2">
      <c r="B52" s="39" t="s">
        <v>166</v>
      </c>
      <c r="C52" s="117"/>
      <c r="D52" s="117"/>
      <c r="E52" s="117"/>
      <c r="F52" s="117"/>
      <c r="G52" s="135"/>
      <c r="H52" s="136"/>
      <c r="I52" s="136"/>
      <c r="J52" s="136"/>
      <c r="K52" s="137"/>
    </row>
    <row r="53" spans="1:12" s="39" customFormat="1" ht="19.5" customHeight="1" x14ac:dyDescent="0.2">
      <c r="B53" s="39" t="s">
        <v>167</v>
      </c>
      <c r="C53" s="117"/>
      <c r="D53" s="117"/>
      <c r="E53" s="117"/>
      <c r="F53" s="117"/>
      <c r="G53" s="117"/>
      <c r="H53" s="117"/>
      <c r="I53" s="117"/>
      <c r="J53" s="117"/>
      <c r="K53" s="117"/>
    </row>
    <row r="54" spans="1:12" s="39" customFormat="1" ht="19.5" customHeight="1" x14ac:dyDescent="0.2">
      <c r="D54" s="117"/>
      <c r="E54" s="117"/>
      <c r="F54" s="117"/>
      <c r="G54" s="117"/>
      <c r="H54" s="117"/>
      <c r="I54" s="117"/>
      <c r="J54" s="117"/>
      <c r="K54" s="117"/>
    </row>
    <row r="55" spans="1:12" s="43" customFormat="1" ht="19.5" customHeight="1" x14ac:dyDescent="0.2">
      <c r="A55" s="47" t="s">
        <v>77</v>
      </c>
      <c r="B55" s="47"/>
      <c r="C55" s="47"/>
    </row>
    <row r="56" spans="1:12" s="43" customFormat="1" ht="19.5" customHeight="1" x14ac:dyDescent="0.2">
      <c r="B56" s="45" t="s">
        <v>173</v>
      </c>
      <c r="C56" s="45"/>
      <c r="D56" s="115"/>
      <c r="E56" s="115"/>
      <c r="F56" s="116"/>
      <c r="G56" s="116"/>
    </row>
    <row r="57" spans="1:12" s="43" customFormat="1" ht="18.75" customHeight="1" thickBot="1" x14ac:dyDescent="0.25"/>
    <row r="58" spans="1:12" s="43" customFormat="1" ht="39.9" customHeight="1" thickBot="1" x14ac:dyDescent="0.25">
      <c r="A58" s="125" t="s">
        <v>162</v>
      </c>
      <c r="B58" s="126"/>
      <c r="C58" s="126"/>
      <c r="D58" s="126"/>
      <c r="E58" s="127" t="s">
        <v>170</v>
      </c>
      <c r="F58" s="127"/>
      <c r="G58" s="127"/>
      <c r="H58" s="127"/>
      <c r="I58" s="127"/>
      <c r="J58" s="127"/>
      <c r="K58" s="128"/>
      <c r="L58" s="112"/>
    </row>
    <row r="59" spans="1:12" s="43" customFormat="1" ht="18.75" customHeight="1" x14ac:dyDescent="0.2"/>
    <row r="60" spans="1:12" s="43" customFormat="1" ht="19.5" customHeight="1" x14ac:dyDescent="0.2">
      <c r="A60" s="45" t="s">
        <v>76</v>
      </c>
      <c r="B60" s="45"/>
      <c r="C60" s="45"/>
      <c r="D60" s="45"/>
      <c r="F60" s="116"/>
      <c r="G60" s="116"/>
      <c r="J60" s="116"/>
      <c r="K60" s="116"/>
    </row>
    <row r="61" spans="1:12" ht="9.9" customHeight="1" x14ac:dyDescent="0.2">
      <c r="A61" s="37"/>
      <c r="B61" s="37"/>
      <c r="D61"/>
      <c r="H61" s="66"/>
      <c r="I61" s="64"/>
      <c r="J61" s="38"/>
      <c r="K61" s="38"/>
    </row>
    <row r="62" spans="1:12" ht="19.5" customHeight="1" x14ac:dyDescent="0.2">
      <c r="D62"/>
      <c r="E62" s="44"/>
      <c r="F62" s="44"/>
      <c r="G62" s="44"/>
      <c r="H62" s="44"/>
      <c r="I62" s="44"/>
      <c r="J62" s="44"/>
      <c r="K62" s="44"/>
    </row>
    <row r="63" spans="1:12" ht="19.5" customHeight="1" x14ac:dyDescent="0.2">
      <c r="D63"/>
      <c r="E63" s="44"/>
      <c r="F63" s="44"/>
      <c r="G63" s="44"/>
      <c r="H63" s="44"/>
      <c r="I63" s="44"/>
      <c r="J63" s="44"/>
      <c r="K63" s="44"/>
    </row>
    <row r="64" spans="1:12" ht="19.5" customHeight="1" x14ac:dyDescent="0.2">
      <c r="D64"/>
      <c r="E64" s="44"/>
      <c r="F64" s="44"/>
      <c r="G64" s="44"/>
      <c r="H64" s="44"/>
      <c r="I64" s="44"/>
      <c r="J64" s="44"/>
      <c r="K64" s="44"/>
    </row>
    <row r="65" spans="4:11" ht="19.5" customHeight="1" x14ac:dyDescent="0.2">
      <c r="D65"/>
      <c r="E65" s="44"/>
      <c r="F65" s="44"/>
      <c r="G65" s="44"/>
      <c r="H65" s="44"/>
      <c r="I65" s="44"/>
      <c r="J65" s="44"/>
      <c r="K65" s="44"/>
    </row>
    <row r="66" spans="4:11" ht="19.5" customHeight="1" x14ac:dyDescent="0.2">
      <c r="D66"/>
    </row>
    <row r="67" spans="4:11" ht="19.5" customHeight="1" x14ac:dyDescent="0.2">
      <c r="D67"/>
    </row>
    <row r="68" spans="4:11" ht="19.5" customHeight="1" x14ac:dyDescent="0.2">
      <c r="D68"/>
    </row>
    <row r="69" spans="4:11" ht="19.5" customHeight="1" x14ac:dyDescent="0.2">
      <c r="D69"/>
    </row>
    <row r="70" spans="4:11" ht="19.5" customHeight="1" x14ac:dyDescent="0.2">
      <c r="D70"/>
    </row>
    <row r="71" spans="4:11" ht="19.5" customHeight="1" x14ac:dyDescent="0.2">
      <c r="D71"/>
    </row>
    <row r="72" spans="4:11" ht="19.5" customHeight="1" x14ac:dyDescent="0.2">
      <c r="D72"/>
    </row>
    <row r="73" spans="4:11" ht="19.5" customHeight="1" x14ac:dyDescent="0.2">
      <c r="D73"/>
    </row>
    <row r="74" spans="4:11" ht="19.5" customHeight="1" x14ac:dyDescent="0.2">
      <c r="D74"/>
    </row>
    <row r="75" spans="4:11" ht="19.5" customHeight="1" x14ac:dyDescent="0.2">
      <c r="D75"/>
    </row>
    <row r="76" spans="4:11" ht="19.5" customHeight="1" x14ac:dyDescent="0.2">
      <c r="D76"/>
    </row>
    <row r="77" spans="4:11" ht="19.5" customHeight="1" x14ac:dyDescent="0.2">
      <c r="D77"/>
    </row>
    <row r="78" spans="4:11" ht="19.5" customHeight="1" x14ac:dyDescent="0.2">
      <c r="D78"/>
    </row>
    <row r="79" spans="4:11" ht="19.5" customHeight="1" x14ac:dyDescent="0.2">
      <c r="D79"/>
    </row>
    <row r="80" spans="4:11" ht="19.5" customHeight="1" x14ac:dyDescent="0.2">
      <c r="D80"/>
    </row>
    <row r="81" spans="4:4" ht="19.5" customHeight="1" x14ac:dyDescent="0.2">
      <c r="D81"/>
    </row>
    <row r="82" spans="4:4" ht="19.5" customHeight="1" x14ac:dyDescent="0.2">
      <c r="D82"/>
    </row>
    <row r="83" spans="4:4" ht="19.5" customHeight="1" x14ac:dyDescent="0.2">
      <c r="D83"/>
    </row>
    <row r="84" spans="4:4" ht="19.5" customHeight="1" x14ac:dyDescent="0.2">
      <c r="D84"/>
    </row>
    <row r="85" spans="4:4" ht="19.5" customHeight="1" x14ac:dyDescent="0.2">
      <c r="D85"/>
    </row>
    <row r="86" spans="4:4" ht="19.5" customHeight="1" x14ac:dyDescent="0.2">
      <c r="D86"/>
    </row>
    <row r="87" spans="4:4" ht="19.5" customHeight="1" x14ac:dyDescent="0.2">
      <c r="D87"/>
    </row>
    <row r="88" spans="4:4" ht="19.5" customHeight="1" x14ac:dyDescent="0.2">
      <c r="D88"/>
    </row>
    <row r="89" spans="4:4" ht="19.5" customHeight="1" x14ac:dyDescent="0.2">
      <c r="D89"/>
    </row>
    <row r="90" spans="4:4" ht="19.5" customHeight="1" x14ac:dyDescent="0.2">
      <c r="D90"/>
    </row>
    <row r="91" spans="4:4" ht="19.5" customHeight="1" x14ac:dyDescent="0.2">
      <c r="D91"/>
    </row>
    <row r="92" spans="4:4" ht="19.5" customHeight="1" x14ac:dyDescent="0.2">
      <c r="D92"/>
    </row>
    <row r="93" spans="4:4" ht="19.5" customHeight="1" x14ac:dyDescent="0.2">
      <c r="D93"/>
    </row>
    <row r="94" spans="4:4" ht="19.5" customHeight="1" x14ac:dyDescent="0.2">
      <c r="D94"/>
    </row>
    <row r="95" spans="4:4" ht="19.5" customHeight="1" x14ac:dyDescent="0.2"/>
    <row r="96" spans="4:4" ht="19.5" customHeight="1" x14ac:dyDescent="0.2"/>
    <row r="97" ht="19.5" customHeight="1" x14ac:dyDescent="0.2"/>
    <row r="98" ht="19.5" customHeight="1" x14ac:dyDescent="0.2"/>
    <row r="99" ht="19.5" customHeight="1" x14ac:dyDescent="0.2"/>
    <row r="100" ht="19.5" customHeight="1" x14ac:dyDescent="0.2"/>
    <row r="101" ht="19.5" customHeight="1" x14ac:dyDescent="0.2"/>
    <row r="102" ht="19.5" customHeight="1" x14ac:dyDescent="0.2"/>
    <row r="103" ht="19.5" customHeight="1" x14ac:dyDescent="0.2"/>
    <row r="104" ht="19.5" customHeight="1" x14ac:dyDescent="0.2"/>
    <row r="105" ht="19.5" customHeight="1" x14ac:dyDescent="0.2"/>
    <row r="106" ht="19.5" customHeight="1" x14ac:dyDescent="0.2"/>
    <row r="107" ht="19.5" customHeight="1" x14ac:dyDescent="0.2"/>
    <row r="108" ht="19.5" customHeight="1" x14ac:dyDescent="0.2"/>
    <row r="109" ht="19.5" customHeight="1" x14ac:dyDescent="0.2"/>
    <row r="110" ht="19.5" customHeight="1" x14ac:dyDescent="0.2"/>
    <row r="111" ht="19.5" customHeight="1" x14ac:dyDescent="0.2"/>
    <row r="112" ht="19.5" customHeight="1" x14ac:dyDescent="0.2"/>
    <row r="113" ht="19.5" customHeight="1" x14ac:dyDescent="0.2"/>
    <row r="114" ht="19.5" customHeight="1" x14ac:dyDescent="0.2"/>
    <row r="115" ht="19.5" customHeight="1" x14ac:dyDescent="0.2"/>
    <row r="116" ht="19.5" customHeight="1" x14ac:dyDescent="0.2"/>
    <row r="117" ht="19.5" customHeight="1" x14ac:dyDescent="0.2"/>
    <row r="118" ht="19.5" customHeight="1" x14ac:dyDescent="0.2"/>
    <row r="119" ht="19.5" customHeight="1" x14ac:dyDescent="0.2"/>
    <row r="120" ht="19.5" customHeight="1" x14ac:dyDescent="0.2"/>
    <row r="121" ht="19.5" customHeight="1" x14ac:dyDescent="0.2"/>
    <row r="122" ht="19.5" customHeight="1" x14ac:dyDescent="0.2"/>
    <row r="123" ht="19.5" customHeight="1" x14ac:dyDescent="0.2"/>
    <row r="124" ht="19.5" customHeight="1" x14ac:dyDescent="0.2"/>
    <row r="125" ht="19.5" customHeight="1" x14ac:dyDescent="0.2"/>
    <row r="126" ht="19.5" customHeight="1" x14ac:dyDescent="0.2"/>
    <row r="127" ht="19.5" customHeight="1" x14ac:dyDescent="0.2"/>
    <row r="128" ht="19.5" customHeight="1" x14ac:dyDescent="0.2"/>
    <row r="129" ht="19.5" customHeight="1" x14ac:dyDescent="0.2"/>
    <row r="130" ht="19.5" customHeight="1" x14ac:dyDescent="0.2"/>
    <row r="131" ht="19.5" customHeight="1" x14ac:dyDescent="0.2"/>
    <row r="132" ht="19.5" customHeight="1" x14ac:dyDescent="0.2"/>
    <row r="133" ht="19.5" customHeight="1" x14ac:dyDescent="0.2"/>
    <row r="134" ht="19.5" customHeight="1" x14ac:dyDescent="0.2"/>
    <row r="135" ht="19.5" customHeight="1" x14ac:dyDescent="0.2"/>
    <row r="136" ht="19.5" customHeight="1" x14ac:dyDescent="0.2"/>
  </sheetData>
  <mergeCells count="37">
    <mergeCell ref="A2:K2"/>
    <mergeCell ref="E9:F9"/>
    <mergeCell ref="E7:F7"/>
    <mergeCell ref="E5:F5"/>
    <mergeCell ref="G7:I7"/>
    <mergeCell ref="G4:I4"/>
    <mergeCell ref="G5:H5"/>
    <mergeCell ref="G9:K9"/>
    <mergeCell ref="E11:F11"/>
    <mergeCell ref="G11:K11"/>
    <mergeCell ref="B14:K14"/>
    <mergeCell ref="B17:K17"/>
    <mergeCell ref="B16:K16"/>
    <mergeCell ref="B15:K15"/>
    <mergeCell ref="D13:K13"/>
    <mergeCell ref="E28:K28"/>
    <mergeCell ref="G39:K39"/>
    <mergeCell ref="G35:H35"/>
    <mergeCell ref="B44:K44"/>
    <mergeCell ref="G37:I37"/>
    <mergeCell ref="E37:F37"/>
    <mergeCell ref="A3:D5"/>
    <mergeCell ref="A33:D35"/>
    <mergeCell ref="G51:K52"/>
    <mergeCell ref="A58:D58"/>
    <mergeCell ref="E58:K58"/>
    <mergeCell ref="B46:K46"/>
    <mergeCell ref="E35:F35"/>
    <mergeCell ref="A32:K32"/>
    <mergeCell ref="B47:K47"/>
    <mergeCell ref="E41:F41"/>
    <mergeCell ref="G41:K41"/>
    <mergeCell ref="B45:K45"/>
    <mergeCell ref="D43:K43"/>
    <mergeCell ref="E39:F39"/>
    <mergeCell ref="G21:K22"/>
    <mergeCell ref="A28:D28"/>
  </mergeCells>
  <phoneticPr fontId="3"/>
  <pageMargins left="0.19685039370078741" right="0.19685039370078741" top="0.19685039370078741" bottom="0.19685039370078741" header="0.51181102362204722" footer="0.51181102362204722"/>
  <pageSetup paperSize="9" scale="96" orientation="portrait" horizontalDpi="300" r:id="rId1"/>
  <headerFooter alignWithMargins="0"/>
  <rowBreaks count="1" manualBreakCount="1">
    <brk id="31" max="10" man="1"/>
  </rowBreaks>
  <drawing r:id="rId2"/>
  <legacyDrawing r:id="rId3"/>
  <controls>
    <mc:AlternateContent xmlns:mc="http://schemas.openxmlformats.org/markup-compatibility/2006">
      <mc:Choice Requires="x14">
        <control shapeId="2051" r:id="rId4" name="CommandButton2">
          <controlPr defaultSize="0" autoLine="0" r:id="rId5">
            <anchor moveWithCells="1">
              <from>
                <xdr:col>12</xdr:col>
                <xdr:colOff>7620</xdr:colOff>
                <xdr:row>12</xdr:row>
                <xdr:rowOff>0</xdr:rowOff>
              </from>
              <to>
                <xdr:col>13</xdr:col>
                <xdr:colOff>441960</xdr:colOff>
                <xdr:row>13</xdr:row>
                <xdr:rowOff>121920</xdr:rowOff>
              </to>
            </anchor>
          </controlPr>
        </control>
      </mc:Choice>
      <mc:Fallback>
        <control shapeId="2051" r:id="rId4" name="CommandButton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AD0F4-3360-44BF-B7F1-3369CCA97238}">
  <sheetPr codeName="Sheet7"/>
  <dimension ref="A1:L109"/>
  <sheetViews>
    <sheetView zoomScaleNormal="100" workbookViewId="0">
      <selection activeCell="L14" sqref="L14"/>
    </sheetView>
  </sheetViews>
  <sheetFormatPr defaultRowHeight="13.2" x14ac:dyDescent="0.2"/>
  <cols>
    <col min="1" max="1" width="2.77734375" style="37" customWidth="1"/>
    <col min="2" max="2" width="10.21875" style="37" customWidth="1"/>
    <col min="3" max="3" width="8.109375" customWidth="1"/>
    <col min="4" max="4" width="5" customWidth="1"/>
    <col min="5" max="5" width="1.44140625" customWidth="1"/>
    <col min="6" max="6" width="14" customWidth="1"/>
    <col min="7" max="7" width="10" customWidth="1"/>
    <col min="8" max="8" width="4.109375" customWidth="1"/>
    <col min="9" max="9" width="31.109375" customWidth="1"/>
  </cols>
  <sheetData>
    <row r="1" spans="1:11" ht="50.1" customHeight="1" x14ac:dyDescent="0.2">
      <c r="H1" s="66"/>
      <c r="I1" s="64"/>
    </row>
    <row r="2" spans="1:11" ht="28.5" customHeight="1" x14ac:dyDescent="0.2">
      <c r="A2" s="139" t="s">
        <v>177</v>
      </c>
      <c r="B2" s="139"/>
      <c r="C2" s="139"/>
      <c r="D2" s="139"/>
      <c r="E2" s="139"/>
      <c r="F2" s="139"/>
      <c r="G2" s="139"/>
      <c r="H2" s="139"/>
      <c r="I2" s="139"/>
      <c r="J2" s="65"/>
    </row>
    <row r="3" spans="1:11" ht="18.75" customHeight="1" x14ac:dyDescent="0.2">
      <c r="A3" s="65"/>
      <c r="B3" s="65"/>
      <c r="C3" s="65"/>
      <c r="D3" s="65"/>
      <c r="E3" s="65"/>
      <c r="F3" s="65"/>
      <c r="G3" s="65"/>
      <c r="H3" s="65"/>
      <c r="I3" s="140" t="str">
        <f>"ID:"&amp;共通情報!B3&amp;"  " &amp; 共通情報!D3 &amp; "  様"</f>
        <v>ID:006000000  ざく　ざく情報室以外使用禁止  様</v>
      </c>
      <c r="J3" s="140"/>
      <c r="K3" s="140"/>
    </row>
    <row r="4" spans="1:11" ht="19.5" customHeight="1" x14ac:dyDescent="0.2">
      <c r="A4" s="129" t="s">
        <v>178</v>
      </c>
      <c r="B4" s="129"/>
      <c r="C4" s="129"/>
      <c r="D4" s="141">
        <f>共通情報!B29</f>
        <v>0</v>
      </c>
      <c r="E4" s="141"/>
      <c r="F4" s="141"/>
      <c r="G4" s="141"/>
      <c r="H4" s="141"/>
      <c r="I4" s="141"/>
      <c r="J4" s="141"/>
      <c r="K4" s="141"/>
    </row>
    <row r="5" spans="1:11" ht="18.75" customHeight="1" x14ac:dyDescent="0.2">
      <c r="A5" s="38"/>
      <c r="B5" s="38"/>
      <c r="C5" s="38"/>
      <c r="D5" s="70"/>
      <c r="E5" s="60"/>
      <c r="F5" s="60"/>
      <c r="G5" s="60"/>
      <c r="H5" s="60"/>
      <c r="I5" s="60"/>
      <c r="J5" s="60"/>
    </row>
    <row r="6" spans="1:11" ht="19.5" customHeight="1" x14ac:dyDescent="0.2">
      <c r="A6" s="129" t="s">
        <v>185</v>
      </c>
      <c r="B6" s="129"/>
      <c r="C6" s="129"/>
      <c r="D6" s="38"/>
      <c r="E6" s="38"/>
      <c r="F6" s="38"/>
      <c r="G6" s="38"/>
      <c r="H6" s="38"/>
      <c r="I6" s="38"/>
      <c r="J6" s="38"/>
    </row>
    <row r="7" spans="1:11" ht="18.75" customHeight="1" x14ac:dyDescent="0.2">
      <c r="A7"/>
      <c r="B7"/>
      <c r="C7" s="38"/>
      <c r="D7" s="38"/>
      <c r="E7" s="38"/>
      <c r="F7" s="38"/>
    </row>
    <row r="8" spans="1:11" ht="390" customHeight="1" x14ac:dyDescent="0.2">
      <c r="A8" s="38"/>
      <c r="B8" s="131">
        <f>IF(共通情報!D30="局所麻酔", 共通情報!B31 &amp; CHAR(10) &amp; 共通情報!B36, 共通情報!B31)</f>
        <v>0</v>
      </c>
      <c r="C8" s="131"/>
      <c r="D8" s="131"/>
      <c r="E8" s="131"/>
      <c r="F8" s="131"/>
      <c r="G8" s="131"/>
      <c r="H8" s="131"/>
      <c r="I8" s="131"/>
    </row>
    <row r="9" spans="1:11" s="39" customFormat="1" ht="19.5" customHeight="1" thickBot="1" x14ac:dyDescent="0.25">
      <c r="A9" s="39" t="s">
        <v>163</v>
      </c>
      <c r="C9" s="117"/>
      <c r="D9" s="117"/>
      <c r="E9" s="117"/>
      <c r="F9" s="117"/>
      <c r="G9" s="117"/>
      <c r="H9" s="117"/>
      <c r="I9" s="117"/>
      <c r="J9" s="117"/>
      <c r="K9" s="117"/>
    </row>
    <row r="10" spans="1:11" s="39" customFormat="1" ht="19.5" customHeight="1" x14ac:dyDescent="0.2">
      <c r="A10" s="118" t="s">
        <v>164</v>
      </c>
      <c r="B10" s="118"/>
      <c r="C10" s="119"/>
      <c r="D10" s="119"/>
      <c r="E10" s="119"/>
      <c r="F10" s="119"/>
      <c r="G10" s="119"/>
      <c r="H10" s="119"/>
      <c r="I10" s="119"/>
      <c r="J10" s="119"/>
      <c r="K10" s="119"/>
    </row>
    <row r="11" spans="1:11" s="39" customFormat="1" ht="19.5" customHeight="1" x14ac:dyDescent="0.2">
      <c r="C11" s="39" t="s">
        <v>165</v>
      </c>
      <c r="D11" s="117"/>
      <c r="E11" s="117"/>
      <c r="F11" s="117"/>
      <c r="G11" s="117"/>
      <c r="H11" s="117"/>
      <c r="I11" s="117"/>
      <c r="J11" s="117"/>
      <c r="K11" s="117"/>
    </row>
    <row r="12" spans="1:11" s="39" customFormat="1" ht="19.5" customHeight="1" x14ac:dyDescent="0.2">
      <c r="C12" s="39" t="s">
        <v>168</v>
      </c>
      <c r="D12" s="117"/>
      <c r="E12" s="117"/>
      <c r="F12" s="117"/>
      <c r="G12" s="117"/>
      <c r="H12" s="120" t="s">
        <v>169</v>
      </c>
      <c r="I12" s="132" t="s">
        <v>174</v>
      </c>
      <c r="J12" s="133"/>
      <c r="K12" s="134"/>
    </row>
    <row r="13" spans="1:11" s="39" customFormat="1" ht="19.5" customHeight="1" x14ac:dyDescent="0.2">
      <c r="C13" s="39" t="s">
        <v>166</v>
      </c>
      <c r="D13" s="117"/>
      <c r="E13" s="117"/>
      <c r="F13" s="117"/>
      <c r="G13" s="117"/>
      <c r="H13" s="117"/>
      <c r="I13" s="135"/>
      <c r="J13" s="136"/>
      <c r="K13" s="137"/>
    </row>
    <row r="14" spans="1:11" s="39" customFormat="1" ht="19.5" customHeight="1" x14ac:dyDescent="0.2">
      <c r="C14" s="39" t="s">
        <v>167</v>
      </c>
      <c r="D14" s="117"/>
      <c r="E14" s="117"/>
      <c r="F14" s="117"/>
      <c r="G14" s="117"/>
      <c r="H14" s="117"/>
      <c r="I14" s="117"/>
      <c r="J14" s="117"/>
      <c r="K14" s="117"/>
    </row>
    <row r="15" spans="1:11" s="43" customFormat="1" ht="9.9" customHeight="1" x14ac:dyDescent="0.2"/>
    <row r="16" spans="1:11" s="43" customFormat="1" ht="19.5" customHeight="1" x14ac:dyDescent="0.2">
      <c r="A16" s="45" t="s">
        <v>72</v>
      </c>
      <c r="B16" s="45"/>
      <c r="C16" s="138" t="str">
        <f>共通情報!C8</f>
        <v>2014年06月26日</v>
      </c>
      <c r="D16" s="138"/>
      <c r="E16" s="138"/>
      <c r="F16" s="138"/>
      <c r="G16" s="113"/>
    </row>
    <row r="17" spans="1:12" s="43" customFormat="1" ht="18.75" customHeight="1" x14ac:dyDescent="0.2"/>
    <row r="18" spans="1:12" s="43" customFormat="1" ht="19.5" customHeight="1" x14ac:dyDescent="0.2">
      <c r="A18" s="45" t="s">
        <v>73</v>
      </c>
      <c r="B18" s="45"/>
      <c r="C18" s="122">
        <f>共通情報!B27</f>
        <v>0</v>
      </c>
      <c r="D18" s="122"/>
      <c r="E18" s="122"/>
      <c r="F18" s="122"/>
      <c r="G18" s="114" t="s">
        <v>82</v>
      </c>
      <c r="I18" s="45" t="s">
        <v>74</v>
      </c>
      <c r="J18" s="45"/>
      <c r="K18" s="45"/>
    </row>
    <row r="19" spans="1:12" s="43" customFormat="1" ht="18.75" customHeight="1" x14ac:dyDescent="0.2"/>
    <row r="20" spans="1:12" s="43" customFormat="1" ht="19.5" customHeight="1" x14ac:dyDescent="0.2">
      <c r="A20" s="47" t="s">
        <v>77</v>
      </c>
      <c r="B20" s="47"/>
      <c r="C20" s="47"/>
    </row>
    <row r="21" spans="1:12" s="43" customFormat="1" ht="19.5" customHeight="1" x14ac:dyDescent="0.2">
      <c r="C21" s="124" t="s">
        <v>81</v>
      </c>
      <c r="D21" s="124"/>
      <c r="E21" s="124"/>
      <c r="F21" s="124"/>
      <c r="G21" s="124"/>
    </row>
    <row r="22" spans="1:12" s="43" customFormat="1" ht="18.75" customHeight="1" thickBot="1" x14ac:dyDescent="0.25"/>
    <row r="23" spans="1:12" s="43" customFormat="1" ht="39.9" customHeight="1" thickBot="1" x14ac:dyDescent="0.25">
      <c r="A23" s="125" t="s">
        <v>162</v>
      </c>
      <c r="B23" s="126"/>
      <c r="C23" s="126"/>
      <c r="D23" s="126"/>
      <c r="E23" s="126"/>
      <c r="F23" s="126"/>
      <c r="G23" s="126"/>
      <c r="H23" s="127" t="s">
        <v>170</v>
      </c>
      <c r="I23" s="127"/>
      <c r="J23" s="127"/>
      <c r="K23" s="128"/>
      <c r="L23" s="112"/>
    </row>
    <row r="24" spans="1:12" s="43" customFormat="1" ht="18.75" customHeight="1" x14ac:dyDescent="0.2"/>
    <row r="25" spans="1:12" s="43" customFormat="1" ht="19.5" customHeight="1" x14ac:dyDescent="0.2">
      <c r="A25" s="45" t="s">
        <v>76</v>
      </c>
      <c r="B25" s="45"/>
      <c r="C25" s="45"/>
      <c r="D25" s="45"/>
      <c r="E25" s="45"/>
      <c r="F25" s="115"/>
      <c r="G25" s="115"/>
      <c r="J25" s="116"/>
      <c r="K25" s="116"/>
    </row>
    <row r="26" spans="1:12" ht="9.9" customHeight="1" x14ac:dyDescent="0.2">
      <c r="H26" s="66"/>
      <c r="I26" s="64"/>
      <c r="J26" s="38"/>
      <c r="K26" s="38"/>
    </row>
    <row r="27" spans="1:12" ht="33" customHeight="1" x14ac:dyDescent="0.2">
      <c r="A27" s="139" t="s">
        <v>179</v>
      </c>
      <c r="B27" s="139"/>
      <c r="C27" s="139"/>
      <c r="D27" s="139"/>
      <c r="E27" s="139"/>
      <c r="F27" s="139"/>
      <c r="G27" s="139"/>
      <c r="H27" s="139"/>
      <c r="I27" s="139"/>
      <c r="J27" s="38"/>
      <c r="K27" s="38"/>
    </row>
    <row r="28" spans="1:12" ht="19.5" customHeight="1" x14ac:dyDescent="0.2">
      <c r="A28" s="65"/>
      <c r="B28" s="65"/>
      <c r="C28" s="65"/>
      <c r="D28" s="65"/>
      <c r="E28" s="65"/>
      <c r="F28" s="65"/>
      <c r="G28" s="65"/>
      <c r="H28" s="65"/>
      <c r="I28" s="140" t="str">
        <f>I3</f>
        <v>ID:006000000  ざく　ざく情報室以外使用禁止  様</v>
      </c>
      <c r="J28" s="140"/>
      <c r="K28" s="140"/>
    </row>
    <row r="29" spans="1:12" ht="19.5" customHeight="1" x14ac:dyDescent="0.2">
      <c r="A29" s="129" t="s">
        <v>180</v>
      </c>
      <c r="B29" s="129"/>
      <c r="C29" s="129"/>
      <c r="D29" s="141">
        <f>D4</f>
        <v>0</v>
      </c>
      <c r="E29" s="141"/>
      <c r="F29" s="141"/>
      <c r="G29" s="141"/>
      <c r="H29" s="141"/>
      <c r="I29" s="141"/>
      <c r="J29" s="141"/>
      <c r="K29" s="141"/>
    </row>
    <row r="30" spans="1:12" ht="19.5" customHeight="1" x14ac:dyDescent="0.2">
      <c r="A30" s="38"/>
      <c r="B30" s="38"/>
      <c r="C30" s="38"/>
      <c r="D30" s="60"/>
      <c r="E30" s="60"/>
      <c r="F30" s="60"/>
      <c r="G30" s="60"/>
      <c r="H30" s="60"/>
      <c r="I30" s="60"/>
    </row>
    <row r="31" spans="1:12" ht="19.5" customHeight="1" x14ac:dyDescent="0.2">
      <c r="A31" s="129" t="s">
        <v>185</v>
      </c>
      <c r="B31" s="129"/>
      <c r="C31" s="129"/>
      <c r="D31" s="38"/>
      <c r="E31" s="38"/>
      <c r="F31" s="38"/>
      <c r="G31" s="38"/>
      <c r="H31" s="38"/>
      <c r="I31" s="38"/>
    </row>
    <row r="32" spans="1:12" ht="19.5" customHeight="1" x14ac:dyDescent="0.2">
      <c r="A32"/>
      <c r="B32"/>
      <c r="C32" s="38"/>
      <c r="D32" s="38"/>
      <c r="E32" s="38"/>
      <c r="F32" s="38"/>
    </row>
    <row r="33" spans="1:12" ht="390" customHeight="1" x14ac:dyDescent="0.2">
      <c r="A33" s="38"/>
      <c r="B33" s="131">
        <f>B8</f>
        <v>0</v>
      </c>
      <c r="C33" s="131"/>
      <c r="D33" s="131"/>
      <c r="E33" s="131"/>
      <c r="F33" s="131"/>
      <c r="G33" s="131"/>
      <c r="H33" s="131"/>
      <c r="I33" s="131"/>
    </row>
    <row r="34" spans="1:12" s="39" customFormat="1" ht="19.5" customHeight="1" thickBot="1" x14ac:dyDescent="0.25">
      <c r="A34" s="39" t="s">
        <v>163</v>
      </c>
      <c r="C34" s="117"/>
      <c r="D34" s="117"/>
      <c r="E34" s="117"/>
      <c r="F34" s="117"/>
      <c r="G34" s="117"/>
      <c r="H34" s="117"/>
      <c r="I34" s="117"/>
      <c r="J34" s="117"/>
      <c r="K34" s="117"/>
    </row>
    <row r="35" spans="1:12" s="39" customFormat="1" ht="19.5" customHeight="1" x14ac:dyDescent="0.2">
      <c r="A35" s="118" t="s">
        <v>164</v>
      </c>
      <c r="B35" s="118"/>
      <c r="C35" s="119"/>
      <c r="D35" s="119"/>
      <c r="E35" s="119"/>
      <c r="F35" s="119"/>
      <c r="G35" s="119"/>
      <c r="H35" s="119"/>
      <c r="I35" s="119"/>
      <c r="J35" s="119"/>
      <c r="K35" s="119"/>
    </row>
    <row r="36" spans="1:12" s="39" customFormat="1" ht="19.5" customHeight="1" x14ac:dyDescent="0.2">
      <c r="C36" s="39" t="s">
        <v>165</v>
      </c>
      <c r="D36" s="117"/>
      <c r="E36" s="117"/>
      <c r="F36" s="117"/>
      <c r="G36" s="117"/>
      <c r="H36" s="117"/>
      <c r="I36" s="117"/>
      <c r="J36" s="117"/>
      <c r="K36" s="117"/>
    </row>
    <row r="37" spans="1:12" s="39" customFormat="1" ht="19.5" customHeight="1" x14ac:dyDescent="0.2">
      <c r="C37" s="39" t="s">
        <v>168</v>
      </c>
      <c r="D37" s="117"/>
      <c r="E37" s="117"/>
      <c r="F37" s="117"/>
      <c r="G37" s="117"/>
      <c r="H37" s="120" t="s">
        <v>169</v>
      </c>
      <c r="I37" s="132" t="s">
        <v>174</v>
      </c>
      <c r="J37" s="133"/>
      <c r="K37" s="134"/>
    </row>
    <row r="38" spans="1:12" s="39" customFormat="1" ht="19.5" customHeight="1" x14ac:dyDescent="0.2">
      <c r="C38" s="39" t="s">
        <v>166</v>
      </c>
      <c r="D38" s="117"/>
      <c r="E38" s="117"/>
      <c r="F38" s="117"/>
      <c r="G38" s="117"/>
      <c r="H38" s="117"/>
      <c r="I38" s="135"/>
      <c r="J38" s="136"/>
      <c r="K38" s="137"/>
    </row>
    <row r="39" spans="1:12" s="39" customFormat="1" ht="19.5" customHeight="1" x14ac:dyDescent="0.2">
      <c r="C39" s="39" t="s">
        <v>167</v>
      </c>
      <c r="D39" s="117"/>
      <c r="E39" s="117"/>
      <c r="F39" s="117"/>
      <c r="G39" s="117"/>
      <c r="H39" s="117"/>
      <c r="I39" s="117"/>
      <c r="J39" s="117"/>
      <c r="K39" s="117"/>
    </row>
    <row r="40" spans="1:12" s="43" customFormat="1" ht="9.9" customHeight="1" x14ac:dyDescent="0.2"/>
    <row r="41" spans="1:12" s="43" customFormat="1" ht="19.5" customHeight="1" x14ac:dyDescent="0.2">
      <c r="A41" s="45" t="s">
        <v>72</v>
      </c>
      <c r="B41" s="45"/>
      <c r="C41" s="138" t="str">
        <f>C16</f>
        <v>2014年06月26日</v>
      </c>
      <c r="D41" s="138"/>
      <c r="E41" s="138"/>
      <c r="F41" s="138"/>
      <c r="G41" s="113"/>
    </row>
    <row r="42" spans="1:12" s="43" customFormat="1" ht="18.75" customHeight="1" x14ac:dyDescent="0.2"/>
    <row r="43" spans="1:12" s="43" customFormat="1" ht="19.5" customHeight="1" x14ac:dyDescent="0.2">
      <c r="A43" s="45" t="s">
        <v>73</v>
      </c>
      <c r="B43" s="45"/>
      <c r="C43" s="122">
        <f>C18</f>
        <v>0</v>
      </c>
      <c r="D43" s="123"/>
      <c r="E43" s="123"/>
      <c r="F43" s="123"/>
      <c r="G43" s="114" t="s">
        <v>82</v>
      </c>
      <c r="I43" s="45" t="s">
        <v>74</v>
      </c>
      <c r="J43" s="45"/>
      <c r="K43" s="45"/>
    </row>
    <row r="44" spans="1:12" s="43" customFormat="1" ht="18.75" customHeight="1" x14ac:dyDescent="0.2"/>
    <row r="45" spans="1:12" s="43" customFormat="1" ht="19.5" customHeight="1" x14ac:dyDescent="0.2">
      <c r="A45" s="47" t="s">
        <v>77</v>
      </c>
      <c r="B45" s="47"/>
      <c r="C45" s="47"/>
    </row>
    <row r="46" spans="1:12" s="43" customFormat="1" ht="19.5" customHeight="1" x14ac:dyDescent="0.2">
      <c r="C46" s="124" t="s">
        <v>81</v>
      </c>
      <c r="D46" s="124"/>
      <c r="E46" s="124"/>
      <c r="F46" s="124"/>
      <c r="G46" s="124"/>
    </row>
    <row r="47" spans="1:12" s="43" customFormat="1" ht="18.75" customHeight="1" thickBot="1" x14ac:dyDescent="0.25"/>
    <row r="48" spans="1:12" s="43" customFormat="1" ht="39.9" customHeight="1" thickBot="1" x14ac:dyDescent="0.25">
      <c r="A48" s="125" t="s">
        <v>162</v>
      </c>
      <c r="B48" s="126"/>
      <c r="C48" s="126"/>
      <c r="D48" s="126"/>
      <c r="E48" s="126"/>
      <c r="F48" s="126"/>
      <c r="G48" s="126"/>
      <c r="H48" s="127" t="s">
        <v>170</v>
      </c>
      <c r="I48" s="127"/>
      <c r="J48" s="127"/>
      <c r="K48" s="128"/>
      <c r="L48" s="112"/>
    </row>
    <row r="49" spans="1:11" s="43" customFormat="1" ht="18.75" customHeight="1" x14ac:dyDescent="0.2"/>
    <row r="50" spans="1:11" s="43" customFormat="1" ht="19.5" customHeight="1" x14ac:dyDescent="0.2">
      <c r="A50" s="45" t="s">
        <v>76</v>
      </c>
      <c r="B50" s="45"/>
      <c r="C50" s="45"/>
      <c r="D50" s="45"/>
      <c r="E50" s="45"/>
      <c r="F50" s="115"/>
      <c r="G50" s="115"/>
      <c r="J50" s="116"/>
      <c r="K50" s="116"/>
    </row>
    <row r="51" spans="1:11" ht="9.9" customHeight="1" x14ac:dyDescent="0.2">
      <c r="H51" s="66"/>
      <c r="I51" s="64"/>
      <c r="J51" s="38"/>
      <c r="K51" s="38"/>
    </row>
    <row r="52" spans="1:11" ht="19.5" customHeight="1" x14ac:dyDescent="0.2">
      <c r="A52" s="38"/>
      <c r="B52" s="38"/>
      <c r="C52" s="44"/>
      <c r="D52" s="44"/>
      <c r="E52" s="44"/>
      <c r="F52" s="44"/>
      <c r="G52" s="44"/>
      <c r="H52" s="44"/>
      <c r="I52" s="44"/>
    </row>
    <row r="53" spans="1:11" ht="19.5" customHeight="1" x14ac:dyDescent="0.2">
      <c r="A53" s="38"/>
      <c r="B53" s="38"/>
      <c r="C53" s="44"/>
      <c r="D53" s="44"/>
      <c r="E53" s="44"/>
      <c r="F53" s="44"/>
      <c r="G53" s="44"/>
      <c r="H53" s="44"/>
      <c r="I53" s="44"/>
    </row>
    <row r="54" spans="1:11" ht="19.5" customHeight="1" x14ac:dyDescent="0.2">
      <c r="A54" s="38"/>
      <c r="B54" s="38"/>
      <c r="C54" s="44"/>
      <c r="D54" s="44"/>
      <c r="E54" s="44"/>
      <c r="F54" s="44"/>
      <c r="G54" s="44"/>
      <c r="H54" s="44"/>
      <c r="I54" s="44"/>
    </row>
    <row r="55" spans="1:11" ht="19.5" customHeight="1" x14ac:dyDescent="0.2">
      <c r="A55" s="38"/>
      <c r="B55" s="38"/>
      <c r="C55" s="44"/>
      <c r="D55" s="44"/>
      <c r="E55" s="44"/>
      <c r="F55" s="44"/>
      <c r="G55" s="44"/>
      <c r="H55" s="44"/>
      <c r="I55" s="44"/>
    </row>
    <row r="56" spans="1:11" ht="19.5" customHeight="1" x14ac:dyDescent="0.2">
      <c r="A56" s="38"/>
      <c r="B56" s="38"/>
      <c r="C56" s="44"/>
      <c r="D56" s="44"/>
      <c r="E56" s="44"/>
      <c r="F56" s="44"/>
      <c r="G56" s="44"/>
      <c r="H56" s="44"/>
      <c r="I56" s="44"/>
    </row>
    <row r="57" spans="1:11" ht="19.5" customHeight="1" x14ac:dyDescent="0.2">
      <c r="A57" s="38"/>
      <c r="B57" s="38"/>
      <c r="C57" s="44"/>
      <c r="D57" s="44"/>
      <c r="E57" s="44"/>
      <c r="F57" s="44"/>
      <c r="G57" s="44"/>
      <c r="H57" s="44"/>
      <c r="I57" s="44"/>
    </row>
    <row r="58" spans="1:11" ht="19.5" customHeight="1" x14ac:dyDescent="0.2">
      <c r="A58" s="38"/>
      <c r="B58" s="38"/>
      <c r="C58" s="44"/>
      <c r="D58" s="44"/>
      <c r="E58" s="44"/>
      <c r="F58" s="44"/>
      <c r="G58" s="44"/>
      <c r="H58" s="44"/>
      <c r="I58" s="44"/>
    </row>
    <row r="59" spans="1:11" ht="19.5" customHeight="1" x14ac:dyDescent="0.2">
      <c r="A59" s="38"/>
      <c r="B59" s="38"/>
      <c r="C59" s="44"/>
      <c r="D59" s="44"/>
      <c r="E59" s="44"/>
      <c r="F59" s="44"/>
      <c r="G59" s="44"/>
      <c r="H59" s="44"/>
      <c r="I59" s="44"/>
    </row>
    <row r="60" spans="1:11" ht="19.5" customHeight="1" x14ac:dyDescent="0.2">
      <c r="A60" s="38"/>
      <c r="B60" s="38"/>
      <c r="C60" s="44"/>
      <c r="D60" s="44"/>
      <c r="E60" s="44"/>
      <c r="F60" s="44"/>
      <c r="G60" s="44"/>
      <c r="H60" s="44"/>
      <c r="I60" s="44"/>
    </row>
    <row r="61" spans="1:11" ht="19.5" customHeight="1" x14ac:dyDescent="0.2">
      <c r="A61" s="38"/>
      <c r="B61" s="38"/>
      <c r="C61" s="44"/>
      <c r="D61" s="44"/>
      <c r="E61" s="44"/>
      <c r="F61" s="44"/>
      <c r="G61" s="44"/>
      <c r="H61" s="44"/>
      <c r="I61" s="44"/>
    </row>
    <row r="62" spans="1:11" ht="19.5" customHeight="1" x14ac:dyDescent="0.2">
      <c r="A62" s="38"/>
      <c r="B62" s="38"/>
      <c r="C62" s="44"/>
      <c r="D62" s="44"/>
      <c r="E62" s="44"/>
      <c r="F62" s="44"/>
      <c r="G62" s="44"/>
      <c r="H62" s="44"/>
      <c r="I62" s="44"/>
    </row>
    <row r="63" spans="1:11" ht="19.5" customHeight="1" x14ac:dyDescent="0.2">
      <c r="A63"/>
      <c r="B63"/>
      <c r="C63" s="44"/>
      <c r="D63" s="44"/>
      <c r="E63" s="44"/>
      <c r="F63" s="44"/>
      <c r="G63" s="44"/>
      <c r="H63" s="44"/>
      <c r="I63" s="44"/>
    </row>
    <row r="64" spans="1:11" ht="19.5" customHeight="1" x14ac:dyDescent="0.2">
      <c r="A64"/>
      <c r="B64"/>
      <c r="C64" s="44"/>
      <c r="D64" s="44"/>
      <c r="E64" s="44"/>
      <c r="F64" s="44"/>
      <c r="G64" s="44"/>
      <c r="H64" s="44"/>
      <c r="I64" s="44"/>
    </row>
    <row r="65" spans="1:9" ht="19.5" customHeight="1" x14ac:dyDescent="0.2">
      <c r="A65"/>
      <c r="B65"/>
      <c r="C65" s="44"/>
      <c r="D65" s="44"/>
      <c r="E65" s="44"/>
      <c r="F65" s="44"/>
      <c r="G65" s="44"/>
      <c r="H65" s="44"/>
      <c r="I65" s="44"/>
    </row>
    <row r="66" spans="1:9" ht="19.5" customHeight="1" x14ac:dyDescent="0.2">
      <c r="A66"/>
      <c r="B66"/>
      <c r="C66" s="44"/>
      <c r="D66" s="44"/>
      <c r="E66" s="44"/>
      <c r="F66" s="44"/>
      <c r="G66" s="44"/>
      <c r="H66" s="44"/>
      <c r="I66" s="44"/>
    </row>
    <row r="67" spans="1:9" ht="19.5" customHeight="1" x14ac:dyDescent="0.2">
      <c r="A67"/>
      <c r="B67"/>
      <c r="C67" s="44"/>
      <c r="D67" s="44"/>
      <c r="E67" s="44"/>
      <c r="F67" s="44"/>
      <c r="G67" s="44"/>
      <c r="H67" s="44"/>
      <c r="I67" s="44"/>
    </row>
    <row r="68" spans="1:9" ht="19.5" customHeight="1" x14ac:dyDescent="0.2">
      <c r="A68"/>
      <c r="B68"/>
      <c r="C68" s="44"/>
      <c r="D68" s="44"/>
      <c r="E68" s="44"/>
      <c r="F68" s="44"/>
      <c r="G68" s="44"/>
      <c r="H68" s="44"/>
      <c r="I68" s="44"/>
    </row>
    <row r="69" spans="1:9" ht="19.5" customHeight="1" x14ac:dyDescent="0.2">
      <c r="A69"/>
      <c r="B69"/>
      <c r="C69" s="44"/>
      <c r="D69" s="44"/>
      <c r="E69" s="44"/>
      <c r="F69" s="44"/>
      <c r="G69" s="44"/>
      <c r="H69" s="44"/>
      <c r="I69" s="44"/>
    </row>
    <row r="70" spans="1:9" ht="19.5" customHeight="1" x14ac:dyDescent="0.2">
      <c r="A70"/>
      <c r="B70"/>
      <c r="C70" s="44"/>
      <c r="D70" s="44"/>
      <c r="E70" s="44"/>
      <c r="F70" s="44"/>
      <c r="G70" s="44"/>
      <c r="H70" s="44"/>
      <c r="I70" s="44"/>
    </row>
    <row r="71" spans="1:9" ht="19.5" customHeight="1" x14ac:dyDescent="0.2">
      <c r="A71"/>
      <c r="B71"/>
      <c r="C71" s="44"/>
      <c r="D71" s="44"/>
      <c r="E71" s="44"/>
      <c r="F71" s="44"/>
      <c r="G71" s="44"/>
      <c r="H71" s="44"/>
      <c r="I71" s="44"/>
    </row>
    <row r="72" spans="1:9" ht="19.5" customHeight="1" x14ac:dyDescent="0.2">
      <c r="A72"/>
      <c r="B72"/>
      <c r="C72" s="44"/>
      <c r="D72" s="44"/>
      <c r="E72" s="44"/>
      <c r="F72" s="44"/>
      <c r="G72" s="44"/>
      <c r="H72" s="44"/>
      <c r="I72" s="44"/>
    </row>
    <row r="73" spans="1:9" ht="19.5" customHeight="1" x14ac:dyDescent="0.2">
      <c r="A73"/>
      <c r="B73"/>
      <c r="C73" s="44"/>
      <c r="D73" s="44"/>
      <c r="E73" s="44"/>
      <c r="F73" s="44"/>
      <c r="G73" s="44"/>
      <c r="H73" s="44"/>
      <c r="I73" s="44"/>
    </row>
    <row r="74" spans="1:9" ht="19.5" customHeight="1" x14ac:dyDescent="0.2">
      <c r="A74"/>
      <c r="B74"/>
      <c r="C74" s="44"/>
      <c r="D74" s="44"/>
      <c r="E74" s="44"/>
      <c r="F74" s="44"/>
      <c r="G74" s="44"/>
      <c r="H74" s="44"/>
      <c r="I74" s="44"/>
    </row>
    <row r="75" spans="1:9" ht="19.5" customHeight="1" x14ac:dyDescent="0.2">
      <c r="A75"/>
      <c r="B75"/>
      <c r="C75" s="44"/>
      <c r="D75" s="44"/>
      <c r="E75" s="44"/>
      <c r="F75" s="44"/>
      <c r="G75" s="44"/>
      <c r="H75" s="44"/>
      <c r="I75" s="44"/>
    </row>
    <row r="76" spans="1:9" ht="19.5" customHeight="1" x14ac:dyDescent="0.2">
      <c r="A76"/>
      <c r="B76"/>
      <c r="C76" s="44"/>
      <c r="D76" s="44"/>
      <c r="E76" s="44"/>
      <c r="F76" s="44"/>
      <c r="G76" s="44"/>
      <c r="H76" s="44"/>
      <c r="I76" s="44"/>
    </row>
    <row r="77" spans="1:9" x14ac:dyDescent="0.2">
      <c r="A77"/>
      <c r="B77"/>
    </row>
    <row r="78" spans="1:9" x14ac:dyDescent="0.2">
      <c r="A78"/>
      <c r="B78"/>
    </row>
    <row r="79" spans="1:9" x14ac:dyDescent="0.2">
      <c r="A79"/>
      <c r="B79"/>
    </row>
    <row r="80" spans="1:9" x14ac:dyDescent="0.2">
      <c r="A80"/>
      <c r="B80"/>
    </row>
    <row r="81" spans="1:2" x14ac:dyDescent="0.2">
      <c r="A81"/>
      <c r="B81"/>
    </row>
    <row r="82" spans="1:2" x14ac:dyDescent="0.2">
      <c r="A82"/>
      <c r="B82"/>
    </row>
    <row r="83" spans="1:2" x14ac:dyDescent="0.2">
      <c r="A83"/>
      <c r="B83"/>
    </row>
    <row r="84" spans="1:2" x14ac:dyDescent="0.2">
      <c r="A84"/>
      <c r="B84"/>
    </row>
    <row r="85" spans="1:2" x14ac:dyDescent="0.2">
      <c r="A85"/>
      <c r="B85"/>
    </row>
    <row r="86" spans="1:2" x14ac:dyDescent="0.2">
      <c r="A86"/>
      <c r="B86"/>
    </row>
    <row r="87" spans="1:2" x14ac:dyDescent="0.2">
      <c r="A87"/>
      <c r="B87"/>
    </row>
    <row r="88" spans="1:2" x14ac:dyDescent="0.2">
      <c r="A88"/>
      <c r="B88"/>
    </row>
    <row r="89" spans="1:2" x14ac:dyDescent="0.2">
      <c r="A89"/>
      <c r="B89"/>
    </row>
    <row r="90" spans="1:2" x14ac:dyDescent="0.2">
      <c r="A90"/>
      <c r="B90"/>
    </row>
    <row r="91" spans="1:2" x14ac:dyDescent="0.2">
      <c r="A91"/>
      <c r="B91"/>
    </row>
    <row r="92" spans="1:2" x14ac:dyDescent="0.2">
      <c r="A92"/>
      <c r="B92"/>
    </row>
    <row r="93" spans="1:2" x14ac:dyDescent="0.2">
      <c r="A93"/>
      <c r="B93"/>
    </row>
    <row r="94" spans="1:2" x14ac:dyDescent="0.2">
      <c r="A94"/>
      <c r="B94"/>
    </row>
    <row r="95" spans="1:2" x14ac:dyDescent="0.2">
      <c r="A95"/>
      <c r="B95"/>
    </row>
    <row r="96" spans="1:2" x14ac:dyDescent="0.2">
      <c r="A96"/>
      <c r="B96"/>
    </row>
    <row r="97" spans="1:2" x14ac:dyDescent="0.2">
      <c r="A97"/>
      <c r="B97"/>
    </row>
    <row r="98" spans="1:2" x14ac:dyDescent="0.2">
      <c r="A98"/>
      <c r="B98"/>
    </row>
    <row r="99" spans="1:2" x14ac:dyDescent="0.2">
      <c r="A99"/>
      <c r="B99"/>
    </row>
    <row r="100" spans="1:2" x14ac:dyDescent="0.2">
      <c r="A100"/>
      <c r="B100"/>
    </row>
    <row r="101" spans="1:2" x14ac:dyDescent="0.2">
      <c r="A101"/>
      <c r="B101"/>
    </row>
    <row r="102" spans="1:2" x14ac:dyDescent="0.2">
      <c r="A102"/>
      <c r="B102"/>
    </row>
    <row r="103" spans="1:2" x14ac:dyDescent="0.2">
      <c r="A103"/>
      <c r="B103"/>
    </row>
    <row r="104" spans="1:2" x14ac:dyDescent="0.2">
      <c r="A104"/>
      <c r="B104"/>
    </row>
    <row r="105" spans="1:2" x14ac:dyDescent="0.2">
      <c r="A105"/>
      <c r="B105"/>
    </row>
    <row r="106" spans="1:2" x14ac:dyDescent="0.2">
      <c r="A106"/>
      <c r="B106"/>
    </row>
    <row r="107" spans="1:2" x14ac:dyDescent="0.2">
      <c r="A107"/>
      <c r="B107"/>
    </row>
    <row r="108" spans="1:2" x14ac:dyDescent="0.2">
      <c r="A108"/>
      <c r="B108"/>
    </row>
    <row r="109" spans="1:2" x14ac:dyDescent="0.2">
      <c r="A109"/>
      <c r="B109"/>
    </row>
  </sheetData>
  <mergeCells count="24">
    <mergeCell ref="A2:I2"/>
    <mergeCell ref="I3:K3"/>
    <mergeCell ref="A4:C4"/>
    <mergeCell ref="A6:C6"/>
    <mergeCell ref="B8:I8"/>
    <mergeCell ref="D4:K4"/>
    <mergeCell ref="I12:K13"/>
    <mergeCell ref="C16:F16"/>
    <mergeCell ref="C18:F18"/>
    <mergeCell ref="C21:G21"/>
    <mergeCell ref="A23:G23"/>
    <mergeCell ref="H23:K23"/>
    <mergeCell ref="A27:I27"/>
    <mergeCell ref="I28:K28"/>
    <mergeCell ref="A29:C29"/>
    <mergeCell ref="C43:F43"/>
    <mergeCell ref="C46:G46"/>
    <mergeCell ref="D29:K29"/>
    <mergeCell ref="A48:G48"/>
    <mergeCell ref="H48:K48"/>
    <mergeCell ref="A31:C31"/>
    <mergeCell ref="B33:I33"/>
    <mergeCell ref="I37:K38"/>
    <mergeCell ref="C41:F41"/>
  </mergeCells>
  <phoneticPr fontId="3"/>
  <pageMargins left="0.19685039370078741" right="0.19685039370078741" top="0.19685039370078741" bottom="0.19685039370078741" header="0.51181102362204722" footer="0.51181102362204722"/>
  <pageSetup paperSize="9" scale="94" orientation="portrait" horizontalDpi="300" r:id="rId1"/>
  <headerFooter alignWithMargins="0"/>
  <rowBreaks count="1" manualBreakCount="1">
    <brk id="26" max="10" man="1"/>
  </rowBreaks>
  <drawing r:id="rId2"/>
  <legacyDrawing r:id="rId3"/>
  <controls>
    <mc:AlternateContent xmlns:mc="http://schemas.openxmlformats.org/markup-compatibility/2006">
      <mc:Choice Requires="x14">
        <control shapeId="18433" r:id="rId4" name="CommandButton2">
          <controlPr defaultSize="0" autoLine="0" r:id="rId5">
            <anchor moveWithCells="1">
              <from>
                <xdr:col>13</xdr:col>
                <xdr:colOff>213360</xdr:colOff>
                <xdr:row>2</xdr:row>
                <xdr:rowOff>160020</xdr:rowOff>
              </from>
              <to>
                <xdr:col>15</xdr:col>
                <xdr:colOff>38100</xdr:colOff>
                <xdr:row>4</xdr:row>
                <xdr:rowOff>38100</xdr:rowOff>
              </to>
            </anchor>
          </controlPr>
        </control>
      </mc:Choice>
      <mc:Fallback>
        <control shapeId="18433" r:id="rId4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1D993-E700-42B7-8FA8-ED3E7D75AB32}">
  <sheetPr codeName="Sheet8"/>
  <dimension ref="A1:L113"/>
  <sheetViews>
    <sheetView zoomScaleNormal="100" workbookViewId="0">
      <selection activeCell="O2" sqref="O2"/>
    </sheetView>
  </sheetViews>
  <sheetFormatPr defaultRowHeight="13.2" x14ac:dyDescent="0.2"/>
  <cols>
    <col min="1" max="1" width="2.77734375" style="37" customWidth="1"/>
    <col min="2" max="2" width="10.21875" style="37" customWidth="1"/>
    <col min="3" max="3" width="8.109375" customWidth="1"/>
    <col min="4" max="4" width="5" customWidth="1"/>
    <col min="5" max="5" width="1.44140625" customWidth="1"/>
    <col min="6" max="6" width="14" customWidth="1"/>
    <col min="7" max="7" width="10" customWidth="1"/>
    <col min="8" max="8" width="4.109375" customWidth="1"/>
    <col min="9" max="9" width="31.109375" customWidth="1"/>
  </cols>
  <sheetData>
    <row r="1" spans="1:11" ht="50.1" customHeight="1" x14ac:dyDescent="0.2">
      <c r="H1" s="66"/>
      <c r="I1" s="64"/>
    </row>
    <row r="2" spans="1:11" ht="28.5" customHeight="1" x14ac:dyDescent="0.2">
      <c r="A2" s="139" t="s">
        <v>181</v>
      </c>
      <c r="B2" s="139"/>
      <c r="C2" s="139"/>
      <c r="D2" s="139"/>
      <c r="E2" s="139"/>
      <c r="F2" s="139"/>
      <c r="G2" s="139"/>
      <c r="H2" s="139"/>
      <c r="I2" s="139"/>
      <c r="J2" s="65"/>
    </row>
    <row r="3" spans="1:11" ht="18.75" customHeight="1" x14ac:dyDescent="0.2">
      <c r="A3" s="65"/>
      <c r="B3" s="65"/>
      <c r="C3" s="65"/>
      <c r="D3" s="65"/>
      <c r="E3" s="65"/>
      <c r="F3" s="65"/>
      <c r="G3" s="65"/>
      <c r="H3" s="65"/>
      <c r="I3" s="140" t="str">
        <f>"ID:"&amp;共通情報!B3&amp;"  " &amp; 共通情報!D3 &amp; "  様"</f>
        <v>ID:006000000  ざく　ざく情報室以外使用禁止  様</v>
      </c>
      <c r="J3" s="140"/>
      <c r="K3" s="140"/>
    </row>
    <row r="4" spans="1:11" ht="19.5" customHeight="1" x14ac:dyDescent="0.2">
      <c r="A4" s="129" t="s">
        <v>182</v>
      </c>
      <c r="B4" s="129"/>
      <c r="C4" s="129"/>
      <c r="D4" s="70">
        <f>共通情報!B28</f>
        <v>0</v>
      </c>
      <c r="E4" s="69" t="s">
        <v>79</v>
      </c>
      <c r="F4" s="141">
        <f>共通情報!B29</f>
        <v>0</v>
      </c>
      <c r="G4" s="141"/>
      <c r="H4" s="141"/>
      <c r="I4" s="141"/>
      <c r="J4" s="141"/>
      <c r="K4" s="141"/>
    </row>
    <row r="5" spans="1:11" ht="18.75" customHeight="1" x14ac:dyDescent="0.2">
      <c r="A5" s="38"/>
      <c r="B5" s="38"/>
      <c r="C5" s="38"/>
      <c r="D5" s="70"/>
      <c r="E5" s="60"/>
      <c r="F5" s="60"/>
      <c r="G5" s="60"/>
      <c r="H5" s="60"/>
      <c r="I5" s="60"/>
      <c r="J5" s="60"/>
    </row>
    <row r="6" spans="1:11" ht="19.5" customHeight="1" x14ac:dyDescent="0.2">
      <c r="A6" s="129" t="s">
        <v>83</v>
      </c>
      <c r="B6" s="129"/>
      <c r="C6" s="129"/>
      <c r="D6" s="142">
        <f>共通情報!D30</f>
        <v>0</v>
      </c>
      <c r="E6" s="142"/>
      <c r="F6" s="142"/>
      <c r="G6" s="142"/>
      <c r="H6" s="142"/>
      <c r="I6" s="142"/>
      <c r="J6" s="142"/>
      <c r="K6" s="142"/>
    </row>
    <row r="7" spans="1:11" ht="18.75" customHeight="1" x14ac:dyDescent="0.2">
      <c r="A7" s="38"/>
      <c r="B7" s="38"/>
      <c r="C7" s="38"/>
      <c r="D7" s="72"/>
      <c r="E7" s="38"/>
      <c r="F7" s="38"/>
      <c r="G7" s="38"/>
      <c r="H7" s="38"/>
      <c r="I7" s="38"/>
      <c r="J7" s="38"/>
    </row>
    <row r="8" spans="1:11" ht="19.5" customHeight="1" x14ac:dyDescent="0.2">
      <c r="A8" s="129" t="s">
        <v>183</v>
      </c>
      <c r="B8" s="129"/>
      <c r="C8" s="129"/>
      <c r="D8" s="38"/>
      <c r="E8" s="38"/>
      <c r="F8" s="38"/>
      <c r="G8" s="38"/>
      <c r="H8" s="38"/>
      <c r="I8" s="38"/>
      <c r="J8" s="38"/>
    </row>
    <row r="9" spans="1:11" ht="18.75" customHeight="1" x14ac:dyDescent="0.2">
      <c r="A9"/>
      <c r="B9"/>
      <c r="C9" s="38"/>
      <c r="D9" s="38"/>
      <c r="E9" s="38"/>
      <c r="F9" s="38"/>
    </row>
    <row r="10" spans="1:11" ht="390" customHeight="1" x14ac:dyDescent="0.2">
      <c r="A10" s="38"/>
      <c r="B10" s="131">
        <f>IF(共通情報!D30="局所麻酔", 共通情報!B31 &amp; CHAR(10) &amp; 共通情報!B36, 共通情報!B31)</f>
        <v>0</v>
      </c>
      <c r="C10" s="131"/>
      <c r="D10" s="131"/>
      <c r="E10" s="131"/>
      <c r="F10" s="131"/>
      <c r="G10" s="131"/>
      <c r="H10" s="131"/>
      <c r="I10" s="131"/>
    </row>
    <row r="11" spans="1:11" s="39" customFormat="1" ht="19.5" customHeight="1" thickBot="1" x14ac:dyDescent="0.25">
      <c r="A11" s="39" t="s">
        <v>163</v>
      </c>
      <c r="C11" s="117"/>
      <c r="D11" s="117"/>
      <c r="E11" s="117"/>
      <c r="F11" s="117"/>
      <c r="G11" s="117"/>
      <c r="H11" s="117"/>
      <c r="I11" s="117"/>
      <c r="J11" s="117"/>
      <c r="K11" s="117"/>
    </row>
    <row r="12" spans="1:11" s="39" customFormat="1" ht="19.5" customHeight="1" x14ac:dyDescent="0.2">
      <c r="A12" s="118" t="s">
        <v>164</v>
      </c>
      <c r="B12" s="118"/>
      <c r="C12" s="119"/>
      <c r="D12" s="119"/>
      <c r="E12" s="119"/>
      <c r="F12" s="119"/>
      <c r="G12" s="119"/>
      <c r="H12" s="119"/>
      <c r="I12" s="119"/>
      <c r="J12" s="119"/>
      <c r="K12" s="119"/>
    </row>
    <row r="13" spans="1:11" s="39" customFormat="1" ht="19.5" customHeight="1" x14ac:dyDescent="0.2">
      <c r="C13" s="39" t="s">
        <v>165</v>
      </c>
      <c r="D13" s="117"/>
      <c r="E13" s="117"/>
      <c r="F13" s="117"/>
      <c r="G13" s="117"/>
      <c r="H13" s="117"/>
      <c r="I13" s="117"/>
      <c r="J13" s="117"/>
      <c r="K13" s="117"/>
    </row>
    <row r="14" spans="1:11" s="39" customFormat="1" ht="19.5" customHeight="1" x14ac:dyDescent="0.2">
      <c r="C14" s="39" t="s">
        <v>168</v>
      </c>
      <c r="D14" s="117"/>
      <c r="E14" s="117"/>
      <c r="F14" s="117"/>
      <c r="G14" s="117"/>
      <c r="H14" s="120" t="s">
        <v>169</v>
      </c>
      <c r="I14" s="132" t="s">
        <v>174</v>
      </c>
      <c r="J14" s="133"/>
      <c r="K14" s="134"/>
    </row>
    <row r="15" spans="1:11" s="39" customFormat="1" ht="19.5" customHeight="1" x14ac:dyDescent="0.2">
      <c r="C15" s="39" t="s">
        <v>166</v>
      </c>
      <c r="D15" s="117"/>
      <c r="E15" s="117"/>
      <c r="F15" s="117"/>
      <c r="G15" s="117"/>
      <c r="H15" s="117"/>
      <c r="I15" s="135"/>
      <c r="J15" s="136"/>
      <c r="K15" s="137"/>
    </row>
    <row r="16" spans="1:11" s="39" customFormat="1" ht="19.5" customHeight="1" x14ac:dyDescent="0.2">
      <c r="C16" s="39" t="s">
        <v>167</v>
      </c>
      <c r="D16" s="117"/>
      <c r="E16" s="117"/>
      <c r="F16" s="117"/>
      <c r="G16" s="117"/>
      <c r="H16" s="117"/>
      <c r="I16" s="117"/>
      <c r="J16" s="117"/>
      <c r="K16" s="117"/>
    </row>
    <row r="17" spans="1:12" s="43" customFormat="1" ht="9.9" customHeight="1" x14ac:dyDescent="0.2"/>
    <row r="18" spans="1:12" s="43" customFormat="1" ht="19.5" customHeight="1" x14ac:dyDescent="0.2">
      <c r="A18" s="45" t="s">
        <v>72</v>
      </c>
      <c r="B18" s="45"/>
      <c r="C18" s="138" t="str">
        <f>共通情報!C8</f>
        <v>2014年06月26日</v>
      </c>
      <c r="D18" s="138"/>
      <c r="E18" s="138"/>
      <c r="F18" s="138"/>
      <c r="G18" s="113"/>
    </row>
    <row r="19" spans="1:12" s="43" customFormat="1" ht="18.75" customHeight="1" x14ac:dyDescent="0.2"/>
    <row r="20" spans="1:12" s="43" customFormat="1" ht="19.5" customHeight="1" x14ac:dyDescent="0.2">
      <c r="A20" s="45" t="s">
        <v>73</v>
      </c>
      <c r="B20" s="45"/>
      <c r="C20" s="122">
        <f>共通情報!B27</f>
        <v>0</v>
      </c>
      <c r="D20" s="122"/>
      <c r="E20" s="122"/>
      <c r="F20" s="122"/>
      <c r="G20" s="114" t="s">
        <v>82</v>
      </c>
      <c r="I20" s="45" t="s">
        <v>74</v>
      </c>
      <c r="J20" s="45"/>
      <c r="K20" s="45"/>
    </row>
    <row r="21" spans="1:12" s="43" customFormat="1" ht="18.75" customHeight="1" x14ac:dyDescent="0.2"/>
    <row r="22" spans="1:12" s="43" customFormat="1" ht="19.5" customHeight="1" x14ac:dyDescent="0.2">
      <c r="A22" s="47" t="s">
        <v>77</v>
      </c>
      <c r="B22" s="47"/>
      <c r="C22" s="47"/>
    </row>
    <row r="23" spans="1:12" s="43" customFormat="1" ht="19.5" customHeight="1" x14ac:dyDescent="0.2">
      <c r="C23" s="124" t="s">
        <v>81</v>
      </c>
      <c r="D23" s="124"/>
      <c r="E23" s="124"/>
      <c r="F23" s="124"/>
      <c r="G23" s="124"/>
    </row>
    <row r="24" spans="1:12" s="43" customFormat="1" ht="18.75" customHeight="1" thickBot="1" x14ac:dyDescent="0.25"/>
    <row r="25" spans="1:12" s="43" customFormat="1" ht="39.9" customHeight="1" thickBot="1" x14ac:dyDescent="0.25">
      <c r="A25" s="125" t="s">
        <v>162</v>
      </c>
      <c r="B25" s="126"/>
      <c r="C25" s="126"/>
      <c r="D25" s="126"/>
      <c r="E25" s="126"/>
      <c r="F25" s="126"/>
      <c r="G25" s="126"/>
      <c r="H25" s="127" t="s">
        <v>170</v>
      </c>
      <c r="I25" s="127"/>
      <c r="J25" s="127"/>
      <c r="K25" s="128"/>
      <c r="L25" s="112"/>
    </row>
    <row r="26" spans="1:12" s="43" customFormat="1" ht="18.75" customHeight="1" x14ac:dyDescent="0.2"/>
    <row r="27" spans="1:12" s="43" customFormat="1" ht="19.5" customHeight="1" x14ac:dyDescent="0.2">
      <c r="A27" s="45" t="s">
        <v>76</v>
      </c>
      <c r="B27" s="45"/>
      <c r="C27" s="45"/>
      <c r="D27" s="45"/>
      <c r="E27" s="45"/>
      <c r="F27" s="115"/>
      <c r="G27" s="115"/>
      <c r="J27" s="116"/>
      <c r="K27" s="116"/>
    </row>
    <row r="28" spans="1:12" ht="9.9" customHeight="1" x14ac:dyDescent="0.2">
      <c r="H28" s="66"/>
      <c r="I28" s="64"/>
      <c r="J28" s="38"/>
      <c r="K28" s="38"/>
    </row>
    <row r="29" spans="1:12" ht="33" customHeight="1" x14ac:dyDescent="0.2">
      <c r="A29" s="139" t="s">
        <v>184</v>
      </c>
      <c r="B29" s="139"/>
      <c r="C29" s="139"/>
      <c r="D29" s="139"/>
      <c r="E29" s="139"/>
      <c r="F29" s="139"/>
      <c r="G29" s="139"/>
      <c r="H29" s="139"/>
      <c r="I29" s="139"/>
      <c r="J29" s="38"/>
      <c r="K29" s="38"/>
    </row>
    <row r="30" spans="1:12" ht="19.5" customHeight="1" x14ac:dyDescent="0.2">
      <c r="A30" s="65"/>
      <c r="B30" s="65"/>
      <c r="C30" s="65"/>
      <c r="D30" s="65"/>
      <c r="E30" s="65"/>
      <c r="F30" s="65"/>
      <c r="G30" s="65"/>
      <c r="H30" s="65"/>
      <c r="I30" s="140" t="str">
        <f>I3</f>
        <v>ID:006000000  ざく　ざく情報室以外使用禁止  様</v>
      </c>
      <c r="J30" s="140"/>
      <c r="K30" s="140"/>
    </row>
    <row r="31" spans="1:12" ht="19.5" customHeight="1" x14ac:dyDescent="0.2">
      <c r="A31" s="129" t="s">
        <v>182</v>
      </c>
      <c r="B31" s="129"/>
      <c r="C31" s="129"/>
      <c r="D31" s="70">
        <f>D4</f>
        <v>0</v>
      </c>
      <c r="E31" s="69" t="s">
        <v>80</v>
      </c>
      <c r="F31" s="141">
        <f>F4</f>
        <v>0</v>
      </c>
      <c r="G31" s="141"/>
      <c r="H31" s="141"/>
      <c r="I31" s="141"/>
      <c r="J31" s="141"/>
      <c r="K31" s="141"/>
    </row>
    <row r="32" spans="1:12" ht="19.5" customHeight="1" x14ac:dyDescent="0.2">
      <c r="A32" s="38"/>
      <c r="B32" s="38"/>
      <c r="C32" s="38"/>
      <c r="D32" s="60"/>
      <c r="E32" s="60"/>
      <c r="F32" s="60"/>
      <c r="G32" s="60"/>
      <c r="H32" s="60"/>
      <c r="I32" s="60"/>
    </row>
    <row r="33" spans="1:11" ht="19.5" customHeight="1" x14ac:dyDescent="0.2">
      <c r="A33" s="129" t="str">
        <f>"２．麻酔の形式 ："</f>
        <v>２．麻酔の形式 ：</v>
      </c>
      <c r="B33" s="129"/>
      <c r="C33" s="129"/>
      <c r="D33" s="130">
        <f>D6</f>
        <v>0</v>
      </c>
      <c r="E33" s="130"/>
      <c r="F33" s="130"/>
      <c r="G33" s="130"/>
      <c r="H33" s="130"/>
      <c r="I33" s="130"/>
      <c r="J33" s="130"/>
      <c r="K33" s="130"/>
    </row>
    <row r="34" spans="1:11" ht="19.5" customHeight="1" x14ac:dyDescent="0.2">
      <c r="A34" s="38"/>
      <c r="B34" s="38"/>
      <c r="C34" s="38"/>
      <c r="D34" s="38"/>
      <c r="E34" s="38"/>
      <c r="F34" s="38"/>
      <c r="G34" s="38"/>
      <c r="H34" s="38"/>
      <c r="I34" s="38"/>
    </row>
    <row r="35" spans="1:11" ht="19.5" customHeight="1" x14ac:dyDescent="0.2">
      <c r="A35" s="129" t="str">
        <f>"３．注射の説明　"</f>
        <v>３．注射の説明　</v>
      </c>
      <c r="B35" s="129"/>
      <c r="C35" s="129"/>
      <c r="D35" s="38"/>
      <c r="E35" s="38"/>
      <c r="F35" s="38"/>
      <c r="G35" s="38"/>
      <c r="H35" s="38"/>
      <c r="I35" s="38"/>
    </row>
    <row r="36" spans="1:11" ht="19.5" customHeight="1" x14ac:dyDescent="0.2">
      <c r="A36"/>
      <c r="B36"/>
      <c r="C36" s="38"/>
      <c r="D36" s="38"/>
      <c r="E36" s="38"/>
      <c r="F36" s="38"/>
    </row>
    <row r="37" spans="1:11" ht="390" customHeight="1" x14ac:dyDescent="0.2">
      <c r="A37" s="38"/>
      <c r="B37" s="131">
        <f>B10</f>
        <v>0</v>
      </c>
      <c r="C37" s="131"/>
      <c r="D37" s="131"/>
      <c r="E37" s="131"/>
      <c r="F37" s="131"/>
      <c r="G37" s="131"/>
      <c r="H37" s="131"/>
      <c r="I37" s="131"/>
    </row>
    <row r="38" spans="1:11" s="39" customFormat="1" ht="19.5" customHeight="1" thickBot="1" x14ac:dyDescent="0.25">
      <c r="A38" s="39" t="s">
        <v>163</v>
      </c>
      <c r="C38" s="117"/>
      <c r="D38" s="117"/>
      <c r="E38" s="117"/>
      <c r="F38" s="117"/>
      <c r="G38" s="117"/>
      <c r="H38" s="117"/>
      <c r="I38" s="117"/>
      <c r="J38" s="117"/>
      <c r="K38" s="117"/>
    </row>
    <row r="39" spans="1:11" s="39" customFormat="1" ht="19.5" customHeight="1" x14ac:dyDescent="0.2">
      <c r="A39" s="118" t="s">
        <v>164</v>
      </c>
      <c r="B39" s="118"/>
      <c r="C39" s="119"/>
      <c r="D39" s="119"/>
      <c r="E39" s="119"/>
      <c r="F39" s="119"/>
      <c r="G39" s="119"/>
      <c r="H39" s="119"/>
      <c r="I39" s="119"/>
      <c r="J39" s="119"/>
      <c r="K39" s="119"/>
    </row>
    <row r="40" spans="1:11" s="39" customFormat="1" ht="19.5" customHeight="1" x14ac:dyDescent="0.2">
      <c r="C40" s="39" t="s">
        <v>165</v>
      </c>
      <c r="D40" s="117"/>
      <c r="E40" s="117"/>
      <c r="F40" s="117"/>
      <c r="G40" s="117"/>
      <c r="H40" s="117"/>
      <c r="I40" s="117"/>
      <c r="J40" s="117"/>
      <c r="K40" s="117"/>
    </row>
    <row r="41" spans="1:11" s="39" customFormat="1" ht="19.5" customHeight="1" x14ac:dyDescent="0.2">
      <c r="C41" s="39" t="s">
        <v>168</v>
      </c>
      <c r="D41" s="117"/>
      <c r="E41" s="117"/>
      <c r="F41" s="117"/>
      <c r="G41" s="117"/>
      <c r="H41" s="120" t="s">
        <v>169</v>
      </c>
      <c r="I41" s="132" t="s">
        <v>174</v>
      </c>
      <c r="J41" s="133"/>
      <c r="K41" s="134"/>
    </row>
    <row r="42" spans="1:11" s="39" customFormat="1" ht="19.5" customHeight="1" x14ac:dyDescent="0.2">
      <c r="C42" s="39" t="s">
        <v>166</v>
      </c>
      <c r="D42" s="117"/>
      <c r="E42" s="117"/>
      <c r="F42" s="117"/>
      <c r="G42" s="117"/>
      <c r="H42" s="117"/>
      <c r="I42" s="135"/>
      <c r="J42" s="136"/>
      <c r="K42" s="137"/>
    </row>
    <row r="43" spans="1:11" s="39" customFormat="1" ht="19.5" customHeight="1" x14ac:dyDescent="0.2">
      <c r="C43" s="39" t="s">
        <v>167</v>
      </c>
      <c r="D43" s="117"/>
      <c r="E43" s="117"/>
      <c r="F43" s="117"/>
      <c r="G43" s="117"/>
      <c r="H43" s="117"/>
      <c r="I43" s="117"/>
      <c r="J43" s="117"/>
      <c r="K43" s="117"/>
    </row>
    <row r="44" spans="1:11" s="43" customFormat="1" ht="9.9" customHeight="1" x14ac:dyDescent="0.2"/>
    <row r="45" spans="1:11" s="43" customFormat="1" ht="19.5" customHeight="1" x14ac:dyDescent="0.2">
      <c r="A45" s="45" t="s">
        <v>72</v>
      </c>
      <c r="B45" s="45"/>
      <c r="C45" s="138" t="str">
        <f>C18</f>
        <v>2014年06月26日</v>
      </c>
      <c r="D45" s="138"/>
      <c r="E45" s="138"/>
      <c r="F45" s="138"/>
      <c r="G45" s="113"/>
    </row>
    <row r="46" spans="1:11" s="43" customFormat="1" ht="18.75" customHeight="1" x14ac:dyDescent="0.2"/>
    <row r="47" spans="1:11" s="43" customFormat="1" ht="19.5" customHeight="1" x14ac:dyDescent="0.2">
      <c r="A47" s="45" t="s">
        <v>73</v>
      </c>
      <c r="B47" s="45"/>
      <c r="C47" s="122">
        <f>C20</f>
        <v>0</v>
      </c>
      <c r="D47" s="123"/>
      <c r="E47" s="123"/>
      <c r="F47" s="123"/>
      <c r="G47" s="114" t="s">
        <v>82</v>
      </c>
      <c r="I47" s="45" t="s">
        <v>74</v>
      </c>
      <c r="J47" s="45"/>
      <c r="K47" s="45"/>
    </row>
    <row r="48" spans="1:11" s="43" customFormat="1" ht="18.75" customHeight="1" x14ac:dyDescent="0.2"/>
    <row r="49" spans="1:12" s="43" customFormat="1" ht="19.5" customHeight="1" x14ac:dyDescent="0.2">
      <c r="A49" s="47" t="s">
        <v>77</v>
      </c>
      <c r="B49" s="47"/>
      <c r="C49" s="47"/>
    </row>
    <row r="50" spans="1:12" s="43" customFormat="1" ht="19.5" customHeight="1" x14ac:dyDescent="0.2">
      <c r="C50" s="124" t="s">
        <v>81</v>
      </c>
      <c r="D50" s="124"/>
      <c r="E50" s="124"/>
      <c r="F50" s="124"/>
      <c r="G50" s="124"/>
    </row>
    <row r="51" spans="1:12" s="43" customFormat="1" ht="18.75" customHeight="1" thickBot="1" x14ac:dyDescent="0.25"/>
    <row r="52" spans="1:12" s="43" customFormat="1" ht="39.9" customHeight="1" thickBot="1" x14ac:dyDescent="0.25">
      <c r="A52" s="125" t="s">
        <v>162</v>
      </c>
      <c r="B52" s="126"/>
      <c r="C52" s="126"/>
      <c r="D52" s="126"/>
      <c r="E52" s="126"/>
      <c r="F52" s="126"/>
      <c r="G52" s="126"/>
      <c r="H52" s="127" t="s">
        <v>170</v>
      </c>
      <c r="I52" s="127"/>
      <c r="J52" s="127"/>
      <c r="K52" s="128"/>
      <c r="L52" s="112"/>
    </row>
    <row r="53" spans="1:12" s="43" customFormat="1" ht="18.75" customHeight="1" x14ac:dyDescent="0.2"/>
    <row r="54" spans="1:12" s="43" customFormat="1" ht="19.5" customHeight="1" x14ac:dyDescent="0.2">
      <c r="A54" s="45" t="s">
        <v>76</v>
      </c>
      <c r="B54" s="45"/>
      <c r="C54" s="45"/>
      <c r="D54" s="45"/>
      <c r="E54" s="45"/>
      <c r="F54" s="115"/>
      <c r="G54" s="115"/>
      <c r="J54" s="116"/>
      <c r="K54" s="116"/>
    </row>
    <row r="55" spans="1:12" ht="9.9" customHeight="1" x14ac:dyDescent="0.2">
      <c r="H55" s="66"/>
      <c r="I55" s="64"/>
      <c r="J55" s="38"/>
      <c r="K55" s="38"/>
    </row>
    <row r="56" spans="1:12" ht="19.5" customHeight="1" x14ac:dyDescent="0.2">
      <c r="A56" s="38"/>
      <c r="B56" s="38"/>
      <c r="C56" s="44"/>
      <c r="D56" s="44"/>
      <c r="E56" s="44"/>
      <c r="F56" s="44"/>
      <c r="G56" s="44"/>
      <c r="H56" s="44"/>
      <c r="I56" s="44"/>
    </row>
    <row r="57" spans="1:12" ht="19.5" customHeight="1" x14ac:dyDescent="0.2">
      <c r="A57" s="38"/>
      <c r="B57" s="38"/>
      <c r="C57" s="44"/>
      <c r="D57" s="44"/>
      <c r="E57" s="44"/>
      <c r="F57" s="44"/>
      <c r="G57" s="44"/>
      <c r="H57" s="44"/>
      <c r="I57" s="44"/>
    </row>
    <row r="58" spans="1:12" ht="19.5" customHeight="1" x14ac:dyDescent="0.2">
      <c r="A58" s="38"/>
      <c r="B58" s="38"/>
      <c r="C58" s="44"/>
      <c r="D58" s="44"/>
      <c r="E58" s="44"/>
      <c r="F58" s="44"/>
      <c r="G58" s="44"/>
      <c r="H58" s="44"/>
      <c r="I58" s="44"/>
    </row>
    <row r="59" spans="1:12" ht="19.5" customHeight="1" x14ac:dyDescent="0.2">
      <c r="A59" s="38"/>
      <c r="B59" s="38"/>
      <c r="C59" s="44"/>
      <c r="D59" s="44"/>
      <c r="E59" s="44"/>
      <c r="F59" s="44"/>
      <c r="G59" s="44"/>
      <c r="H59" s="44"/>
      <c r="I59" s="44"/>
    </row>
    <row r="60" spans="1:12" ht="19.5" customHeight="1" x14ac:dyDescent="0.2">
      <c r="A60" s="38"/>
      <c r="B60" s="38"/>
      <c r="C60" s="44"/>
      <c r="D60" s="44"/>
      <c r="E60" s="44"/>
      <c r="F60" s="44"/>
      <c r="G60" s="44"/>
      <c r="H60" s="44"/>
      <c r="I60" s="44"/>
    </row>
    <row r="61" spans="1:12" ht="19.5" customHeight="1" x14ac:dyDescent="0.2">
      <c r="A61" s="38"/>
      <c r="B61" s="38"/>
      <c r="C61" s="44"/>
      <c r="D61" s="44"/>
      <c r="E61" s="44"/>
      <c r="F61" s="44"/>
      <c r="G61" s="44"/>
      <c r="H61" s="44"/>
      <c r="I61" s="44"/>
    </row>
    <row r="62" spans="1:12" ht="19.5" customHeight="1" x14ac:dyDescent="0.2">
      <c r="A62" s="38"/>
      <c r="B62" s="38"/>
      <c r="C62" s="44"/>
      <c r="D62" s="44"/>
      <c r="E62" s="44"/>
      <c r="F62" s="44"/>
      <c r="G62" s="44"/>
      <c r="H62" s="44"/>
      <c r="I62" s="44"/>
    </row>
    <row r="63" spans="1:12" ht="19.5" customHeight="1" x14ac:dyDescent="0.2">
      <c r="A63" s="38"/>
      <c r="B63" s="38"/>
      <c r="C63" s="44"/>
      <c r="D63" s="44"/>
      <c r="E63" s="44"/>
      <c r="F63" s="44"/>
      <c r="G63" s="44"/>
      <c r="H63" s="44"/>
      <c r="I63" s="44"/>
    </row>
    <row r="64" spans="1:12" ht="19.5" customHeight="1" x14ac:dyDescent="0.2">
      <c r="A64" s="38"/>
      <c r="B64" s="38"/>
      <c r="C64" s="44"/>
      <c r="D64" s="44"/>
      <c r="E64" s="44"/>
      <c r="F64" s="44"/>
      <c r="G64" s="44"/>
      <c r="H64" s="44"/>
      <c r="I64" s="44"/>
    </row>
    <row r="65" spans="1:9" ht="19.5" customHeight="1" x14ac:dyDescent="0.2">
      <c r="A65" s="38"/>
      <c r="B65" s="38"/>
      <c r="C65" s="44"/>
      <c r="D65" s="44"/>
      <c r="E65" s="44"/>
      <c r="F65" s="44"/>
      <c r="G65" s="44"/>
      <c r="H65" s="44"/>
      <c r="I65" s="44"/>
    </row>
    <row r="66" spans="1:9" ht="19.5" customHeight="1" x14ac:dyDescent="0.2">
      <c r="A66" s="38"/>
      <c r="B66" s="38"/>
      <c r="C66" s="44"/>
      <c r="D66" s="44"/>
      <c r="E66" s="44"/>
      <c r="F66" s="44"/>
      <c r="G66" s="44"/>
      <c r="H66" s="44"/>
      <c r="I66" s="44"/>
    </row>
    <row r="67" spans="1:9" ht="19.5" customHeight="1" x14ac:dyDescent="0.2">
      <c r="A67"/>
      <c r="B67"/>
      <c r="C67" s="44"/>
      <c r="D67" s="44"/>
      <c r="E67" s="44"/>
      <c r="F67" s="44"/>
      <c r="G67" s="44"/>
      <c r="H67" s="44"/>
      <c r="I67" s="44"/>
    </row>
    <row r="68" spans="1:9" ht="19.5" customHeight="1" x14ac:dyDescent="0.2">
      <c r="A68"/>
      <c r="B68"/>
      <c r="C68" s="44"/>
      <c r="D68" s="44"/>
      <c r="E68" s="44"/>
      <c r="F68" s="44"/>
      <c r="G68" s="44"/>
      <c r="H68" s="44"/>
      <c r="I68" s="44"/>
    </row>
    <row r="69" spans="1:9" ht="19.5" customHeight="1" x14ac:dyDescent="0.2">
      <c r="A69"/>
      <c r="B69"/>
      <c r="C69" s="44"/>
      <c r="D69" s="44"/>
      <c r="E69" s="44"/>
      <c r="F69" s="44"/>
      <c r="G69" s="44"/>
      <c r="H69" s="44"/>
      <c r="I69" s="44"/>
    </row>
    <row r="70" spans="1:9" ht="19.5" customHeight="1" x14ac:dyDescent="0.2">
      <c r="A70"/>
      <c r="B70"/>
      <c r="C70" s="44"/>
      <c r="D70" s="44"/>
      <c r="E70" s="44"/>
      <c r="F70" s="44"/>
      <c r="G70" s="44"/>
      <c r="H70" s="44"/>
      <c r="I70" s="44"/>
    </row>
    <row r="71" spans="1:9" ht="19.5" customHeight="1" x14ac:dyDescent="0.2">
      <c r="A71"/>
      <c r="B71"/>
      <c r="C71" s="44"/>
      <c r="D71" s="44"/>
      <c r="E71" s="44"/>
      <c r="F71" s="44"/>
      <c r="G71" s="44"/>
      <c r="H71" s="44"/>
      <c r="I71" s="44"/>
    </row>
    <row r="72" spans="1:9" ht="19.5" customHeight="1" x14ac:dyDescent="0.2">
      <c r="A72"/>
      <c r="B72"/>
      <c r="C72" s="44"/>
      <c r="D72" s="44"/>
      <c r="E72" s="44"/>
      <c r="F72" s="44"/>
      <c r="G72" s="44"/>
      <c r="H72" s="44"/>
      <c r="I72" s="44"/>
    </row>
    <row r="73" spans="1:9" ht="19.5" customHeight="1" x14ac:dyDescent="0.2">
      <c r="A73"/>
      <c r="B73"/>
      <c r="C73" s="44"/>
      <c r="D73" s="44"/>
      <c r="E73" s="44"/>
      <c r="F73" s="44"/>
      <c r="G73" s="44"/>
      <c r="H73" s="44"/>
      <c r="I73" s="44"/>
    </row>
    <row r="74" spans="1:9" ht="19.5" customHeight="1" x14ac:dyDescent="0.2">
      <c r="A74"/>
      <c r="B74"/>
      <c r="C74" s="44"/>
      <c r="D74" s="44"/>
      <c r="E74" s="44"/>
      <c r="F74" s="44"/>
      <c r="G74" s="44"/>
      <c r="H74" s="44"/>
      <c r="I74" s="44"/>
    </row>
    <row r="75" spans="1:9" ht="19.5" customHeight="1" x14ac:dyDescent="0.2">
      <c r="A75"/>
      <c r="B75"/>
      <c r="C75" s="44"/>
      <c r="D75" s="44"/>
      <c r="E75" s="44"/>
      <c r="F75" s="44"/>
      <c r="G75" s="44"/>
      <c r="H75" s="44"/>
      <c r="I75" s="44"/>
    </row>
    <row r="76" spans="1:9" ht="19.5" customHeight="1" x14ac:dyDescent="0.2">
      <c r="A76"/>
      <c r="B76"/>
      <c r="C76" s="44"/>
      <c r="D76" s="44"/>
      <c r="E76" s="44"/>
      <c r="F76" s="44"/>
      <c r="G76" s="44"/>
      <c r="H76" s="44"/>
      <c r="I76" s="44"/>
    </row>
    <row r="77" spans="1:9" ht="19.5" customHeight="1" x14ac:dyDescent="0.2">
      <c r="A77"/>
      <c r="B77"/>
      <c r="C77" s="44"/>
      <c r="D77" s="44"/>
      <c r="E77" s="44"/>
      <c r="F77" s="44"/>
      <c r="G77" s="44"/>
      <c r="H77" s="44"/>
      <c r="I77" s="44"/>
    </row>
    <row r="78" spans="1:9" ht="19.5" customHeight="1" x14ac:dyDescent="0.2">
      <c r="A78"/>
      <c r="B78"/>
      <c r="C78" s="44"/>
      <c r="D78" s="44"/>
      <c r="E78" s="44"/>
      <c r="F78" s="44"/>
      <c r="G78" s="44"/>
      <c r="H78" s="44"/>
      <c r="I78" s="44"/>
    </row>
    <row r="79" spans="1:9" ht="19.5" customHeight="1" x14ac:dyDescent="0.2">
      <c r="A79"/>
      <c r="B79"/>
      <c r="C79" s="44"/>
      <c r="D79" s="44"/>
      <c r="E79" s="44"/>
      <c r="F79" s="44"/>
      <c r="G79" s="44"/>
      <c r="H79" s="44"/>
      <c r="I79" s="44"/>
    </row>
    <row r="80" spans="1:9" ht="19.5" customHeight="1" x14ac:dyDescent="0.2">
      <c r="A80"/>
      <c r="B80"/>
      <c r="C80" s="44"/>
      <c r="D80" s="44"/>
      <c r="E80" s="44"/>
      <c r="F80" s="44"/>
      <c r="G80" s="44"/>
      <c r="H80" s="44"/>
      <c r="I80" s="44"/>
    </row>
    <row r="81" spans="1:2" x14ac:dyDescent="0.2">
      <c r="A81"/>
      <c r="B81"/>
    </row>
    <row r="82" spans="1:2" x14ac:dyDescent="0.2">
      <c r="A82"/>
      <c r="B82"/>
    </row>
    <row r="83" spans="1:2" x14ac:dyDescent="0.2">
      <c r="A83"/>
      <c r="B83"/>
    </row>
    <row r="84" spans="1:2" x14ac:dyDescent="0.2">
      <c r="A84"/>
      <c r="B84"/>
    </row>
    <row r="85" spans="1:2" x14ac:dyDescent="0.2">
      <c r="A85"/>
      <c r="B85"/>
    </row>
    <row r="86" spans="1:2" x14ac:dyDescent="0.2">
      <c r="A86"/>
      <c r="B86"/>
    </row>
    <row r="87" spans="1:2" x14ac:dyDescent="0.2">
      <c r="A87"/>
      <c r="B87"/>
    </row>
    <row r="88" spans="1:2" x14ac:dyDescent="0.2">
      <c r="A88"/>
      <c r="B88"/>
    </row>
    <row r="89" spans="1:2" x14ac:dyDescent="0.2">
      <c r="A89"/>
      <c r="B89"/>
    </row>
    <row r="90" spans="1:2" x14ac:dyDescent="0.2">
      <c r="A90"/>
      <c r="B90"/>
    </row>
    <row r="91" spans="1:2" x14ac:dyDescent="0.2">
      <c r="A91"/>
      <c r="B91"/>
    </row>
    <row r="92" spans="1:2" x14ac:dyDescent="0.2">
      <c r="A92"/>
      <c r="B92"/>
    </row>
    <row r="93" spans="1:2" x14ac:dyDescent="0.2">
      <c r="A93"/>
      <c r="B93"/>
    </row>
    <row r="94" spans="1:2" x14ac:dyDescent="0.2">
      <c r="A94"/>
      <c r="B94"/>
    </row>
    <row r="95" spans="1:2" x14ac:dyDescent="0.2">
      <c r="A95"/>
      <c r="B95"/>
    </row>
    <row r="96" spans="1:2" x14ac:dyDescent="0.2">
      <c r="A96"/>
      <c r="B96"/>
    </row>
    <row r="97" spans="1:2" x14ac:dyDescent="0.2">
      <c r="A97"/>
      <c r="B97"/>
    </row>
    <row r="98" spans="1:2" x14ac:dyDescent="0.2">
      <c r="A98"/>
      <c r="B98"/>
    </row>
    <row r="99" spans="1:2" x14ac:dyDescent="0.2">
      <c r="A99"/>
      <c r="B99"/>
    </row>
    <row r="100" spans="1:2" x14ac:dyDescent="0.2">
      <c r="A100"/>
      <c r="B100"/>
    </row>
    <row r="101" spans="1:2" x14ac:dyDescent="0.2">
      <c r="A101"/>
      <c r="B101"/>
    </row>
    <row r="102" spans="1:2" x14ac:dyDescent="0.2">
      <c r="A102"/>
      <c r="B102"/>
    </row>
    <row r="103" spans="1:2" x14ac:dyDescent="0.2">
      <c r="A103"/>
      <c r="B103"/>
    </row>
    <row r="104" spans="1:2" x14ac:dyDescent="0.2">
      <c r="A104"/>
      <c r="B104"/>
    </row>
    <row r="105" spans="1:2" x14ac:dyDescent="0.2">
      <c r="A105"/>
      <c r="B105"/>
    </row>
    <row r="106" spans="1:2" x14ac:dyDescent="0.2">
      <c r="A106"/>
      <c r="B106"/>
    </row>
    <row r="107" spans="1:2" x14ac:dyDescent="0.2">
      <c r="A107"/>
      <c r="B107"/>
    </row>
    <row r="108" spans="1:2" x14ac:dyDescent="0.2">
      <c r="A108"/>
      <c r="B108"/>
    </row>
    <row r="109" spans="1:2" x14ac:dyDescent="0.2">
      <c r="A109"/>
      <c r="B109"/>
    </row>
    <row r="110" spans="1:2" x14ac:dyDescent="0.2">
      <c r="A110"/>
      <c r="B110"/>
    </row>
    <row r="111" spans="1:2" x14ac:dyDescent="0.2">
      <c r="A111"/>
      <c r="B111"/>
    </row>
    <row r="112" spans="1:2" x14ac:dyDescent="0.2">
      <c r="A112"/>
      <c r="B112"/>
    </row>
    <row r="113" spans="1:2" x14ac:dyDescent="0.2">
      <c r="A113"/>
      <c r="B113"/>
    </row>
  </sheetData>
  <mergeCells count="28">
    <mergeCell ref="C23:G23"/>
    <mergeCell ref="A2:I2"/>
    <mergeCell ref="I3:K3"/>
    <mergeCell ref="A4:C4"/>
    <mergeCell ref="F4:K4"/>
    <mergeCell ref="A6:C6"/>
    <mergeCell ref="D6:K6"/>
    <mergeCell ref="A8:C8"/>
    <mergeCell ref="B10:I10"/>
    <mergeCell ref="I14:K15"/>
    <mergeCell ref="C18:F18"/>
    <mergeCell ref="C20:F20"/>
    <mergeCell ref="A25:G25"/>
    <mergeCell ref="H25:K25"/>
    <mergeCell ref="A29:I29"/>
    <mergeCell ref="I30:K30"/>
    <mergeCell ref="A31:C31"/>
    <mergeCell ref="F31:K31"/>
    <mergeCell ref="C47:F47"/>
    <mergeCell ref="C50:G50"/>
    <mergeCell ref="A52:G52"/>
    <mergeCell ref="H52:K52"/>
    <mergeCell ref="A33:C33"/>
    <mergeCell ref="D33:K33"/>
    <mergeCell ref="A35:C35"/>
    <mergeCell ref="B37:I37"/>
    <mergeCell ref="I41:K42"/>
    <mergeCell ref="C45:F45"/>
  </mergeCells>
  <phoneticPr fontId="3"/>
  <pageMargins left="0.19685039370078741" right="0.19685039370078741" top="0.19685039370078741" bottom="0.19685039370078741" header="0.51181102362204722" footer="0.51181102362204722"/>
  <pageSetup paperSize="9" scale="94" orientation="portrait" horizontalDpi="300" r:id="rId1"/>
  <headerFooter alignWithMargins="0"/>
  <rowBreaks count="1" manualBreakCount="1">
    <brk id="28" max="10" man="1"/>
  </rowBreaks>
  <drawing r:id="rId2"/>
  <legacyDrawing r:id="rId3"/>
  <controls>
    <mc:AlternateContent xmlns:mc="http://schemas.openxmlformats.org/markup-compatibility/2006">
      <mc:Choice Requires="x14">
        <control shapeId="19457" r:id="rId4" name="CommandButton2">
          <controlPr defaultSize="0" autoLine="0" r:id="rId5">
            <anchor moveWithCells="1">
              <from>
                <xdr:col>13</xdr:col>
                <xdr:colOff>213360</xdr:colOff>
                <xdr:row>2</xdr:row>
                <xdr:rowOff>160020</xdr:rowOff>
              </from>
              <to>
                <xdr:col>15</xdr:col>
                <xdr:colOff>38100</xdr:colOff>
                <xdr:row>4</xdr:row>
                <xdr:rowOff>38100</xdr:rowOff>
              </to>
            </anchor>
          </controlPr>
        </control>
      </mc:Choice>
      <mc:Fallback>
        <control shapeId="19457" r:id="rId4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B22B0D-E53C-47CA-858A-589C7D0C17CC}">
  <sheetPr codeName="Sheet6"/>
  <dimension ref="A1:L112"/>
  <sheetViews>
    <sheetView zoomScaleNormal="100" workbookViewId="0">
      <selection activeCell="I12" sqref="I12"/>
    </sheetView>
  </sheetViews>
  <sheetFormatPr defaultRowHeight="13.2" x14ac:dyDescent="0.2"/>
  <cols>
    <col min="1" max="1" width="2.77734375" style="37" customWidth="1"/>
    <col min="2" max="2" width="10.21875" style="37" customWidth="1"/>
    <col min="3" max="3" width="8.109375" customWidth="1"/>
    <col min="4" max="4" width="5" customWidth="1"/>
    <col min="5" max="5" width="1.44140625" customWidth="1"/>
    <col min="6" max="6" width="14" customWidth="1"/>
    <col min="7" max="7" width="10" customWidth="1"/>
    <col min="8" max="8" width="4.109375" customWidth="1"/>
    <col min="9" max="9" width="31.109375" customWidth="1"/>
  </cols>
  <sheetData>
    <row r="1" spans="1:11" ht="50.1" customHeight="1" x14ac:dyDescent="0.2">
      <c r="H1" s="66"/>
      <c r="I1" s="64"/>
    </row>
    <row r="2" spans="1:11" ht="28.5" customHeight="1" x14ac:dyDescent="0.2">
      <c r="A2" s="139" t="s">
        <v>159</v>
      </c>
      <c r="B2" s="139"/>
      <c r="C2" s="139"/>
      <c r="D2" s="139"/>
      <c r="E2" s="139"/>
      <c r="F2" s="139"/>
      <c r="G2" s="139"/>
      <c r="H2" s="139"/>
      <c r="I2" s="139"/>
      <c r="J2" s="65"/>
    </row>
    <row r="3" spans="1:11" ht="18.75" customHeight="1" x14ac:dyDescent="0.2">
      <c r="A3" s="65"/>
      <c r="B3" s="65"/>
      <c r="C3" s="65"/>
      <c r="D3" s="65"/>
      <c r="E3" s="65"/>
      <c r="F3" s="65"/>
      <c r="G3" s="65"/>
      <c r="H3" s="65"/>
      <c r="I3" s="140" t="str">
        <f>"ID:"&amp;共通情報!B3&amp;"  " &amp; 共通情報!D3 &amp; "  様"</f>
        <v>ID:006000000  ざく　ざく情報室以外使用禁止  様</v>
      </c>
      <c r="J3" s="140"/>
      <c r="K3" s="140"/>
    </row>
    <row r="4" spans="1:11" ht="19.5" customHeight="1" x14ac:dyDescent="0.2">
      <c r="A4" s="67"/>
      <c r="B4" s="67"/>
      <c r="C4" s="67"/>
      <c r="D4" s="70"/>
      <c r="E4" s="69"/>
      <c r="F4" s="72"/>
      <c r="G4" s="72"/>
      <c r="H4" s="72"/>
      <c r="I4" s="72"/>
      <c r="J4" s="72"/>
      <c r="K4" s="72"/>
    </row>
    <row r="5" spans="1:11" ht="18.75" customHeight="1" x14ac:dyDescent="0.2">
      <c r="A5" s="38"/>
      <c r="B5" s="170">
        <f>IF(共通情報!D30="局所麻酔", 共通情報!B31 &amp; CHAR(10) &amp; 共通情報!B36, 共通情報!B31)</f>
        <v>0</v>
      </c>
      <c r="C5" s="170"/>
      <c r="D5" s="170"/>
      <c r="E5" s="170"/>
      <c r="F5" s="170"/>
      <c r="G5" s="170"/>
      <c r="H5" s="170"/>
      <c r="I5" s="170"/>
      <c r="J5" s="60"/>
    </row>
    <row r="6" spans="1:11" ht="19.5" customHeight="1" x14ac:dyDescent="0.2">
      <c r="A6" s="67"/>
      <c r="B6" s="170"/>
      <c r="C6" s="170"/>
      <c r="D6" s="170"/>
      <c r="E6" s="170"/>
      <c r="F6" s="170"/>
      <c r="G6" s="170"/>
      <c r="H6" s="170"/>
      <c r="I6" s="170"/>
      <c r="J6" s="60"/>
      <c r="K6" s="60"/>
    </row>
    <row r="7" spans="1:11" ht="18.75" customHeight="1" x14ac:dyDescent="0.2">
      <c r="A7" s="38"/>
      <c r="B7" s="170"/>
      <c r="C7" s="170"/>
      <c r="D7" s="170"/>
      <c r="E7" s="170"/>
      <c r="F7" s="170"/>
      <c r="G7" s="170"/>
      <c r="H7" s="170"/>
      <c r="I7" s="170"/>
      <c r="J7" s="38"/>
    </row>
    <row r="8" spans="1:11" ht="19.5" customHeight="1" x14ac:dyDescent="0.2">
      <c r="A8" s="67"/>
      <c r="B8" s="170"/>
      <c r="C8" s="170"/>
      <c r="D8" s="170"/>
      <c r="E8" s="170"/>
      <c r="F8" s="170"/>
      <c r="G8" s="170"/>
      <c r="H8" s="170"/>
      <c r="I8" s="170"/>
      <c r="J8" s="38"/>
    </row>
    <row r="9" spans="1:11" ht="18.75" customHeight="1" x14ac:dyDescent="0.2">
      <c r="A9"/>
      <c r="B9" s="170"/>
      <c r="C9" s="170"/>
      <c r="D9" s="170"/>
      <c r="E9" s="170"/>
      <c r="F9" s="170"/>
      <c r="G9" s="170"/>
      <c r="H9" s="170"/>
      <c r="I9" s="170"/>
    </row>
    <row r="10" spans="1:11" ht="390" customHeight="1" x14ac:dyDescent="0.2">
      <c r="A10" s="38"/>
      <c r="B10" s="170"/>
      <c r="C10" s="170"/>
      <c r="D10" s="170"/>
      <c r="E10" s="170"/>
      <c r="F10" s="170"/>
      <c r="G10" s="170"/>
      <c r="H10" s="170"/>
      <c r="I10" s="170"/>
    </row>
    <row r="11" spans="1:11" ht="19.5" customHeight="1" x14ac:dyDescent="0.2">
      <c r="A11" s="38"/>
      <c r="B11" s="38"/>
      <c r="C11" s="60"/>
      <c r="D11" s="60"/>
      <c r="E11" s="60"/>
      <c r="F11" s="60"/>
      <c r="G11" s="60"/>
      <c r="H11" s="60"/>
      <c r="I11" s="60"/>
      <c r="J11" s="60"/>
      <c r="K11" s="60"/>
    </row>
    <row r="12" spans="1:11" ht="18.75" customHeight="1" x14ac:dyDescent="0.2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</row>
    <row r="13" spans="1:11" ht="19.5" customHeight="1" x14ac:dyDescent="0.2">
      <c r="A13" s="61" t="s">
        <v>72</v>
      </c>
      <c r="B13" s="61"/>
      <c r="C13" s="167" t="str">
        <f>共通情報!C8</f>
        <v>2014年06月26日</v>
      </c>
      <c r="D13" s="167"/>
      <c r="E13" s="167"/>
      <c r="F13" s="167"/>
      <c r="G13" s="73"/>
      <c r="H13" s="38"/>
      <c r="I13" s="38"/>
      <c r="J13" s="38"/>
      <c r="K13" s="38"/>
    </row>
    <row r="14" spans="1:11" ht="18.75" customHeight="1" x14ac:dyDescent="0.2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</row>
    <row r="15" spans="1:11" ht="19.5" customHeight="1" x14ac:dyDescent="0.2">
      <c r="A15" s="61" t="s">
        <v>73</v>
      </c>
      <c r="B15" s="61"/>
      <c r="C15" s="168">
        <f>共通情報!B27</f>
        <v>0</v>
      </c>
      <c r="D15" s="168"/>
      <c r="E15" s="168"/>
      <c r="F15" s="168"/>
      <c r="G15" s="71" t="s">
        <v>82</v>
      </c>
      <c r="H15" s="38"/>
      <c r="I15" s="61" t="str">
        <f>"看護師　　"&amp;共通情報!D28</f>
        <v>看護師　　</v>
      </c>
      <c r="J15" s="61"/>
      <c r="K15" s="61"/>
    </row>
    <row r="16" spans="1:11" ht="18.75" customHeight="1" x14ac:dyDescent="0.2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</row>
    <row r="17" spans="1:12" ht="19.5" customHeight="1" x14ac:dyDescent="0.2">
      <c r="A17" s="62" t="s">
        <v>161</v>
      </c>
      <c r="B17" s="62"/>
      <c r="C17" s="62"/>
      <c r="D17" s="38"/>
      <c r="E17" s="38"/>
      <c r="F17" s="38"/>
      <c r="G17" s="38"/>
      <c r="H17" s="38"/>
      <c r="I17" s="38"/>
      <c r="J17" s="38"/>
      <c r="K17" s="38"/>
    </row>
    <row r="18" spans="1:12" ht="18.75" customHeight="1" x14ac:dyDescent="0.2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7"/>
    </row>
    <row r="19" spans="1:12" ht="19.5" customHeight="1" x14ac:dyDescent="0.2">
      <c r="A19" s="62" t="s">
        <v>77</v>
      </c>
      <c r="B19" s="62"/>
      <c r="C19" s="62"/>
      <c r="D19" s="38"/>
      <c r="E19" s="38"/>
      <c r="F19" s="38"/>
      <c r="G19" s="38"/>
      <c r="H19" s="38"/>
      <c r="I19" s="38"/>
      <c r="J19" s="38"/>
      <c r="K19" s="38"/>
    </row>
    <row r="20" spans="1:12" ht="18.75" customHeight="1" x14ac:dyDescent="0.2">
      <c r="A20" s="38"/>
      <c r="B20" s="38"/>
      <c r="C20" s="38"/>
      <c r="D20" s="38"/>
      <c r="E20" s="38"/>
      <c r="F20" s="38"/>
      <c r="G20" s="38"/>
      <c r="H20" s="38"/>
      <c r="I20" s="38"/>
      <c r="J20" s="38"/>
      <c r="K20" s="38"/>
    </row>
    <row r="21" spans="1:12" ht="19.5" customHeight="1" x14ac:dyDescent="0.2">
      <c r="A21" s="38"/>
      <c r="B21" s="38"/>
      <c r="C21" s="169" t="s">
        <v>81</v>
      </c>
      <c r="D21" s="169"/>
      <c r="E21" s="169"/>
      <c r="F21" s="169"/>
      <c r="G21" s="169"/>
      <c r="H21" s="38"/>
      <c r="I21" s="38"/>
      <c r="J21" s="38"/>
      <c r="K21" s="38"/>
    </row>
    <row r="22" spans="1:12" ht="18.75" customHeight="1" x14ac:dyDescent="0.2">
      <c r="A22" s="38"/>
      <c r="B22" s="38"/>
      <c r="C22" s="38"/>
      <c r="D22" s="38"/>
      <c r="E22" s="38"/>
      <c r="F22" s="38"/>
      <c r="G22" s="38"/>
      <c r="H22" s="38"/>
      <c r="I22" s="38"/>
      <c r="J22" s="38"/>
      <c r="K22" s="38"/>
    </row>
    <row r="23" spans="1:12" ht="39.9" customHeight="1" x14ac:dyDescent="0.25">
      <c r="A23" s="74" t="s">
        <v>75</v>
      </c>
      <c r="B23" s="74"/>
      <c r="C23" s="74"/>
      <c r="D23" s="74"/>
      <c r="E23" s="74"/>
      <c r="F23" s="74"/>
      <c r="G23" s="77"/>
      <c r="H23" s="75"/>
      <c r="I23" s="75" t="s">
        <v>98</v>
      </c>
      <c r="J23" s="75"/>
      <c r="K23" s="75"/>
      <c r="L23" s="76"/>
    </row>
    <row r="24" spans="1:12" ht="18.75" customHeight="1" x14ac:dyDescent="0.2">
      <c r="A24" s="38"/>
      <c r="B24" s="38"/>
      <c r="C24" s="38"/>
      <c r="D24" s="38"/>
      <c r="E24" s="38"/>
      <c r="F24" s="38"/>
      <c r="G24" s="38"/>
      <c r="H24" s="38"/>
      <c r="I24" s="38"/>
      <c r="J24" s="38"/>
      <c r="K24" s="38"/>
    </row>
    <row r="25" spans="1:12" ht="19.5" customHeight="1" x14ac:dyDescent="0.2">
      <c r="A25" s="61" t="s">
        <v>76</v>
      </c>
      <c r="B25" s="61"/>
      <c r="C25" s="61"/>
      <c r="D25" s="61"/>
      <c r="E25" s="61"/>
      <c r="F25" s="63" t="s">
        <v>78</v>
      </c>
      <c r="G25" s="63" t="s">
        <v>64</v>
      </c>
      <c r="H25" s="38"/>
      <c r="I25" s="38"/>
      <c r="J25" s="68"/>
      <c r="K25" s="68"/>
    </row>
    <row r="26" spans="1:12" ht="9.9" customHeight="1" x14ac:dyDescent="0.2">
      <c r="A26" s="38"/>
      <c r="B26" s="38"/>
      <c r="C26" s="38"/>
      <c r="D26" s="38"/>
      <c r="E26" s="38"/>
      <c r="F26" s="38"/>
      <c r="G26" s="68"/>
      <c r="H26" s="38"/>
      <c r="I26" s="38"/>
      <c r="J26" s="38"/>
      <c r="K26" s="38"/>
    </row>
    <row r="27" spans="1:12" ht="19.5" customHeight="1" x14ac:dyDescent="0.2">
      <c r="H27" s="66"/>
      <c r="I27" s="64"/>
      <c r="J27" s="38"/>
      <c r="K27" s="38"/>
    </row>
    <row r="28" spans="1:12" ht="33" customHeight="1" x14ac:dyDescent="0.2">
      <c r="A28" s="139" t="s">
        <v>160</v>
      </c>
      <c r="B28" s="139"/>
      <c r="C28" s="139"/>
      <c r="D28" s="139"/>
      <c r="E28" s="139"/>
      <c r="F28" s="139"/>
      <c r="G28" s="139"/>
      <c r="H28" s="139"/>
      <c r="I28" s="139"/>
      <c r="J28" s="38"/>
      <c r="K28" s="38"/>
    </row>
    <row r="29" spans="1:12" ht="19.5" customHeight="1" x14ac:dyDescent="0.2">
      <c r="A29" s="65"/>
      <c r="B29" s="65"/>
      <c r="C29" s="65"/>
      <c r="D29" s="65"/>
      <c r="E29" s="65"/>
      <c r="F29" s="65"/>
      <c r="G29" s="65"/>
      <c r="H29" s="65"/>
      <c r="I29" s="140" t="str">
        <f>I3</f>
        <v>ID:006000000  ざく　ざく情報室以外使用禁止  様</v>
      </c>
      <c r="J29" s="140"/>
      <c r="K29" s="140"/>
    </row>
    <row r="30" spans="1:12" ht="19.5" customHeight="1" x14ac:dyDescent="0.2">
      <c r="A30" s="67"/>
      <c r="B30" s="67"/>
      <c r="C30" s="67"/>
      <c r="D30" s="70"/>
      <c r="E30" s="69"/>
      <c r="F30" s="72"/>
      <c r="G30" s="72"/>
      <c r="H30" s="72"/>
      <c r="I30" s="72"/>
      <c r="J30" s="72"/>
      <c r="K30" s="72"/>
    </row>
    <row r="31" spans="1:12" ht="19.5" customHeight="1" x14ac:dyDescent="0.2">
      <c r="A31" s="38"/>
      <c r="B31" s="170">
        <f>B5</f>
        <v>0</v>
      </c>
      <c r="C31" s="170"/>
      <c r="D31" s="170"/>
      <c r="E31" s="170"/>
      <c r="F31" s="170"/>
      <c r="G31" s="170"/>
      <c r="H31" s="170"/>
      <c r="I31" s="170"/>
    </row>
    <row r="32" spans="1:12" ht="19.5" customHeight="1" x14ac:dyDescent="0.2">
      <c r="A32" s="67"/>
      <c r="B32" s="170"/>
      <c r="C32" s="170"/>
      <c r="D32" s="170"/>
      <c r="E32" s="170"/>
      <c r="F32" s="170"/>
      <c r="G32" s="170"/>
      <c r="H32" s="170"/>
      <c r="I32" s="170"/>
      <c r="J32" s="38"/>
      <c r="K32" s="38"/>
    </row>
    <row r="33" spans="1:12" ht="19.5" customHeight="1" x14ac:dyDescent="0.2">
      <c r="A33" s="38"/>
      <c r="B33" s="170"/>
      <c r="C33" s="170"/>
      <c r="D33" s="170"/>
      <c r="E33" s="170"/>
      <c r="F33" s="170"/>
      <c r="G33" s="170"/>
      <c r="H33" s="170"/>
      <c r="I33" s="170"/>
    </row>
    <row r="34" spans="1:12" ht="19.5" customHeight="1" x14ac:dyDescent="0.2">
      <c r="A34" s="67"/>
      <c r="B34" s="170"/>
      <c r="C34" s="170"/>
      <c r="D34" s="170"/>
      <c r="E34" s="170"/>
      <c r="F34" s="170"/>
      <c r="G34" s="170"/>
      <c r="H34" s="170"/>
      <c r="I34" s="170"/>
    </row>
    <row r="35" spans="1:12" ht="19.5" customHeight="1" x14ac:dyDescent="0.2">
      <c r="A35"/>
      <c r="B35" s="170"/>
      <c r="C35" s="170"/>
      <c r="D35" s="170"/>
      <c r="E35" s="170"/>
      <c r="F35" s="170"/>
      <c r="G35" s="170"/>
      <c r="H35" s="170"/>
      <c r="I35" s="170"/>
    </row>
    <row r="36" spans="1:12" ht="390" customHeight="1" x14ac:dyDescent="0.2">
      <c r="A36" s="38"/>
      <c r="B36" s="170"/>
      <c r="C36" s="170"/>
      <c r="D36" s="170"/>
      <c r="E36" s="170"/>
      <c r="F36" s="170"/>
      <c r="G36" s="170"/>
      <c r="H36" s="170"/>
      <c r="I36" s="170"/>
    </row>
    <row r="37" spans="1:12" ht="19.5" customHeight="1" x14ac:dyDescent="0.2">
      <c r="A37" s="38" t="s">
        <v>71</v>
      </c>
      <c r="B37" s="38"/>
      <c r="C37" s="60"/>
      <c r="D37" s="60"/>
      <c r="E37" s="60"/>
      <c r="F37" s="60"/>
      <c r="G37" s="60"/>
      <c r="H37" s="60"/>
      <c r="I37" s="60"/>
      <c r="J37" s="60"/>
      <c r="K37" s="60"/>
    </row>
    <row r="38" spans="1:12" ht="18.75" customHeight="1" x14ac:dyDescent="0.2">
      <c r="A38" s="38"/>
      <c r="B38" s="38"/>
      <c r="C38" s="38"/>
      <c r="D38" s="38"/>
      <c r="E38" s="38"/>
      <c r="F38" s="38"/>
      <c r="G38" s="38"/>
      <c r="H38" s="38"/>
      <c r="I38" s="38"/>
      <c r="J38" s="38"/>
      <c r="K38" s="38"/>
    </row>
    <row r="39" spans="1:12" ht="19.5" customHeight="1" x14ac:dyDescent="0.2">
      <c r="A39" s="61" t="s">
        <v>72</v>
      </c>
      <c r="B39" s="61"/>
      <c r="C39" s="167" t="str">
        <f>C13</f>
        <v>2014年06月26日</v>
      </c>
      <c r="D39" s="167"/>
      <c r="E39" s="167"/>
      <c r="F39" s="167"/>
      <c r="G39" s="73"/>
      <c r="H39" s="38"/>
      <c r="I39" s="38"/>
      <c r="J39" s="38"/>
      <c r="K39" s="38"/>
    </row>
    <row r="40" spans="1:12" ht="18.75" customHeight="1" x14ac:dyDescent="0.2">
      <c r="A40" s="38"/>
      <c r="B40" s="38"/>
      <c r="C40" s="38"/>
      <c r="D40" s="38"/>
      <c r="E40" s="38"/>
      <c r="F40" s="38"/>
      <c r="G40" s="38"/>
      <c r="H40" s="38"/>
      <c r="I40" s="38"/>
      <c r="J40" s="38"/>
      <c r="K40" s="38"/>
    </row>
    <row r="41" spans="1:12" ht="19.5" customHeight="1" x14ac:dyDescent="0.2">
      <c r="A41" s="61" t="s">
        <v>73</v>
      </c>
      <c r="B41" s="61"/>
      <c r="C41" s="168">
        <f>C15</f>
        <v>0</v>
      </c>
      <c r="D41" s="171"/>
      <c r="E41" s="171"/>
      <c r="F41" s="171"/>
      <c r="G41" s="71" t="s">
        <v>82</v>
      </c>
      <c r="H41" s="38"/>
      <c r="I41" s="61" t="str">
        <f>"看護師　　"&amp;共通情報!D28</f>
        <v>看護師　　</v>
      </c>
      <c r="J41" s="61"/>
      <c r="K41" s="61"/>
    </row>
    <row r="42" spans="1:12" ht="18.75" customHeight="1" x14ac:dyDescent="0.2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</row>
    <row r="43" spans="1:12" ht="19.5" customHeight="1" x14ac:dyDescent="0.2">
      <c r="A43" s="62" t="s">
        <v>161</v>
      </c>
      <c r="B43" s="62"/>
      <c r="C43" s="62"/>
      <c r="D43" s="38"/>
      <c r="E43" s="38"/>
      <c r="F43" s="38"/>
      <c r="G43" s="38"/>
      <c r="H43" s="38"/>
      <c r="I43" s="38"/>
      <c r="J43" s="38"/>
      <c r="K43" s="38"/>
    </row>
    <row r="44" spans="1:12" ht="18.75" customHeight="1" x14ac:dyDescent="0.2">
      <c r="A44" s="38"/>
      <c r="B44" s="38"/>
      <c r="C44" s="38"/>
      <c r="D44" s="38"/>
      <c r="E44" s="38"/>
      <c r="F44" s="38"/>
      <c r="G44" s="38"/>
      <c r="H44" s="38"/>
      <c r="I44" s="38"/>
      <c r="J44" s="38"/>
      <c r="K44" s="38"/>
      <c r="L44" s="37"/>
    </row>
    <row r="45" spans="1:12" ht="19.5" customHeight="1" x14ac:dyDescent="0.2">
      <c r="A45" s="62" t="s">
        <v>77</v>
      </c>
      <c r="B45" s="62"/>
      <c r="C45" s="62"/>
      <c r="D45" s="38"/>
      <c r="E45" s="38"/>
      <c r="F45" s="38"/>
      <c r="G45" s="38"/>
      <c r="H45" s="38"/>
      <c r="I45" s="38"/>
      <c r="J45" s="38"/>
      <c r="K45" s="38"/>
    </row>
    <row r="46" spans="1:12" ht="18.75" customHeight="1" x14ac:dyDescent="0.2">
      <c r="A46" s="38"/>
      <c r="B46" s="38"/>
      <c r="C46" s="38"/>
      <c r="D46" s="38"/>
      <c r="E46" s="38"/>
      <c r="F46" s="38"/>
      <c r="G46" s="38"/>
      <c r="H46" s="38"/>
      <c r="I46" s="38"/>
      <c r="J46" s="38"/>
      <c r="K46" s="38"/>
    </row>
    <row r="47" spans="1:12" ht="19.5" customHeight="1" x14ac:dyDescent="0.2">
      <c r="A47" s="38"/>
      <c r="B47" s="38"/>
      <c r="C47" s="169" t="s">
        <v>81</v>
      </c>
      <c r="D47" s="169"/>
      <c r="E47" s="169"/>
      <c r="F47" s="169"/>
      <c r="G47" s="169"/>
      <c r="H47" s="38"/>
      <c r="I47" s="38"/>
      <c r="J47" s="38"/>
      <c r="K47" s="38"/>
    </row>
    <row r="48" spans="1:12" ht="18.75" customHeight="1" x14ac:dyDescent="0.2">
      <c r="A48" s="38"/>
      <c r="B48" s="38"/>
      <c r="C48" s="38"/>
      <c r="D48" s="38"/>
      <c r="E48" s="38"/>
      <c r="F48" s="38"/>
      <c r="G48" s="38"/>
      <c r="H48" s="38"/>
      <c r="I48" s="38"/>
      <c r="J48" s="38"/>
      <c r="K48" s="38"/>
    </row>
    <row r="49" spans="1:12" ht="39.9" customHeight="1" x14ac:dyDescent="0.25">
      <c r="A49" s="74" t="s">
        <v>75</v>
      </c>
      <c r="B49" s="74"/>
      <c r="C49" s="74"/>
      <c r="D49" s="74"/>
      <c r="E49" s="74"/>
      <c r="F49" s="74"/>
      <c r="G49" s="77"/>
      <c r="H49" s="75"/>
      <c r="I49" s="75" t="s">
        <v>98</v>
      </c>
      <c r="J49" s="75"/>
      <c r="K49" s="75"/>
      <c r="L49" s="76"/>
    </row>
    <row r="50" spans="1:12" ht="18.75" customHeight="1" x14ac:dyDescent="0.2">
      <c r="A50" s="38"/>
      <c r="B50" s="38"/>
      <c r="C50" s="38"/>
      <c r="D50" s="38"/>
      <c r="E50" s="38"/>
      <c r="F50" s="38"/>
      <c r="G50" s="38"/>
      <c r="H50" s="38"/>
      <c r="I50" s="38"/>
      <c r="J50" s="38"/>
      <c r="K50" s="38"/>
    </row>
    <row r="51" spans="1:12" ht="19.5" customHeight="1" x14ac:dyDescent="0.2">
      <c r="A51" s="61" t="s">
        <v>76</v>
      </c>
      <c r="B51" s="61"/>
      <c r="C51" s="61"/>
      <c r="D51" s="61"/>
      <c r="E51" s="61"/>
      <c r="F51" s="63" t="s">
        <v>78</v>
      </c>
      <c r="G51" s="63" t="s">
        <v>64</v>
      </c>
      <c r="H51" s="38"/>
      <c r="I51" s="38"/>
      <c r="J51" s="68"/>
      <c r="K51" s="68"/>
    </row>
    <row r="52" spans="1:12" ht="19.5" customHeight="1" x14ac:dyDescent="0.2">
      <c r="A52" s="38"/>
      <c r="B52" s="38"/>
      <c r="C52" s="38"/>
      <c r="D52" s="38"/>
      <c r="E52" s="38"/>
      <c r="F52" s="38"/>
      <c r="G52" s="68"/>
      <c r="H52" s="38"/>
      <c r="I52" s="38"/>
      <c r="J52" s="38"/>
      <c r="K52" s="38"/>
    </row>
    <row r="53" spans="1:12" ht="19.5" customHeight="1" x14ac:dyDescent="0.2">
      <c r="A53" s="38"/>
      <c r="B53" s="38"/>
      <c r="C53" s="38"/>
      <c r="D53" s="38"/>
      <c r="E53" s="38"/>
      <c r="F53" s="38"/>
    </row>
    <row r="54" spans="1:12" ht="19.5" customHeight="1" x14ac:dyDescent="0.2">
      <c r="A54" s="38"/>
      <c r="B54" s="38"/>
      <c r="C54" s="44"/>
      <c r="D54" s="44"/>
      <c r="E54" s="44"/>
      <c r="F54" s="44"/>
      <c r="G54" s="44"/>
      <c r="H54" s="44"/>
      <c r="I54" s="44"/>
    </row>
    <row r="55" spans="1:12" ht="19.5" customHeight="1" x14ac:dyDescent="0.2">
      <c r="A55" s="38"/>
      <c r="B55" s="38"/>
      <c r="C55" s="44"/>
      <c r="D55" s="44"/>
      <c r="E55" s="44"/>
      <c r="F55" s="44"/>
      <c r="G55" s="44"/>
      <c r="H55" s="44"/>
      <c r="I55" s="44"/>
    </row>
    <row r="56" spans="1:12" ht="19.5" customHeight="1" x14ac:dyDescent="0.2">
      <c r="A56" s="38"/>
      <c r="B56" s="38"/>
      <c r="C56" s="44"/>
      <c r="D56" s="44"/>
      <c r="E56" s="44"/>
      <c r="F56" s="44"/>
      <c r="G56" s="44"/>
      <c r="H56" s="44"/>
      <c r="I56" s="44"/>
    </row>
    <row r="57" spans="1:12" ht="19.5" customHeight="1" x14ac:dyDescent="0.2">
      <c r="A57" s="38"/>
      <c r="B57" s="38"/>
      <c r="C57" s="44"/>
      <c r="D57" s="44"/>
      <c r="E57" s="44"/>
      <c r="F57" s="44"/>
      <c r="G57" s="44"/>
      <c r="H57" s="44"/>
      <c r="I57" s="44"/>
    </row>
    <row r="58" spans="1:12" ht="19.5" customHeight="1" x14ac:dyDescent="0.2">
      <c r="A58" s="38"/>
      <c r="B58" s="38"/>
      <c r="C58" s="44"/>
      <c r="D58" s="44"/>
      <c r="E58" s="44"/>
      <c r="F58" s="44"/>
      <c r="G58" s="44"/>
      <c r="H58" s="44"/>
      <c r="I58" s="44"/>
    </row>
    <row r="59" spans="1:12" ht="19.5" customHeight="1" x14ac:dyDescent="0.2">
      <c r="A59" s="38"/>
      <c r="B59" s="38"/>
      <c r="C59" s="44"/>
      <c r="D59" s="44"/>
      <c r="E59" s="44"/>
      <c r="F59" s="44"/>
      <c r="G59" s="44"/>
      <c r="H59" s="44"/>
      <c r="I59" s="44"/>
    </row>
    <row r="60" spans="1:12" ht="19.5" customHeight="1" x14ac:dyDescent="0.2">
      <c r="A60" s="38"/>
      <c r="B60" s="38"/>
      <c r="C60" s="44"/>
      <c r="D60" s="44"/>
      <c r="E60" s="44"/>
      <c r="F60" s="44"/>
      <c r="G60" s="44"/>
      <c r="H60" s="44"/>
      <c r="I60" s="44"/>
    </row>
    <row r="61" spans="1:12" ht="19.5" customHeight="1" x14ac:dyDescent="0.2">
      <c r="A61" s="38"/>
      <c r="B61" s="38"/>
      <c r="C61" s="44"/>
      <c r="D61" s="44"/>
      <c r="E61" s="44"/>
      <c r="F61" s="44"/>
      <c r="G61" s="44"/>
      <c r="H61" s="44"/>
      <c r="I61" s="44"/>
    </row>
    <row r="62" spans="1:12" ht="19.5" customHeight="1" x14ac:dyDescent="0.2">
      <c r="A62" s="38"/>
      <c r="B62" s="38"/>
      <c r="C62" s="44"/>
      <c r="D62" s="44"/>
      <c r="E62" s="44"/>
      <c r="F62" s="44"/>
      <c r="G62" s="44"/>
      <c r="H62" s="44"/>
      <c r="I62" s="44"/>
    </row>
    <row r="63" spans="1:12" ht="19.5" customHeight="1" x14ac:dyDescent="0.2">
      <c r="A63" s="38"/>
      <c r="B63" s="38"/>
      <c r="C63" s="44"/>
      <c r="D63" s="44"/>
      <c r="E63" s="44"/>
      <c r="F63" s="44"/>
      <c r="G63" s="44"/>
      <c r="H63" s="44"/>
      <c r="I63" s="44"/>
    </row>
    <row r="64" spans="1:12" ht="19.5" customHeight="1" x14ac:dyDescent="0.2">
      <c r="A64" s="38"/>
      <c r="B64" s="38"/>
      <c r="C64" s="44"/>
      <c r="D64" s="44"/>
      <c r="E64" s="44"/>
      <c r="F64" s="44"/>
      <c r="G64" s="44"/>
      <c r="H64" s="44"/>
      <c r="I64" s="44"/>
    </row>
    <row r="65" spans="1:9" ht="19.5" customHeight="1" x14ac:dyDescent="0.2">
      <c r="A65" s="38"/>
      <c r="B65" s="38"/>
      <c r="C65" s="44"/>
      <c r="D65" s="44"/>
      <c r="E65" s="44"/>
      <c r="F65" s="44"/>
      <c r="G65" s="44"/>
      <c r="H65" s="44"/>
      <c r="I65" s="44"/>
    </row>
    <row r="66" spans="1:9" ht="19.5" customHeight="1" x14ac:dyDescent="0.2">
      <c r="A66"/>
      <c r="B66"/>
      <c r="C66" s="44"/>
      <c r="D66" s="44"/>
      <c r="E66" s="44"/>
      <c r="F66" s="44"/>
      <c r="G66" s="44"/>
      <c r="H66" s="44"/>
      <c r="I66" s="44"/>
    </row>
    <row r="67" spans="1:9" ht="19.5" customHeight="1" x14ac:dyDescent="0.2">
      <c r="A67"/>
      <c r="B67"/>
      <c r="C67" s="44"/>
      <c r="D67" s="44"/>
      <c r="E67" s="44"/>
      <c r="F67" s="44"/>
      <c r="G67" s="44"/>
      <c r="H67" s="44"/>
      <c r="I67" s="44"/>
    </row>
    <row r="68" spans="1:9" ht="19.5" customHeight="1" x14ac:dyDescent="0.2">
      <c r="A68"/>
      <c r="B68"/>
      <c r="C68" s="44"/>
      <c r="D68" s="44"/>
      <c r="E68" s="44"/>
      <c r="F68" s="44"/>
      <c r="G68" s="44"/>
      <c r="H68" s="44"/>
      <c r="I68" s="44"/>
    </row>
    <row r="69" spans="1:9" ht="19.5" customHeight="1" x14ac:dyDescent="0.2">
      <c r="A69"/>
      <c r="B69"/>
      <c r="C69" s="44"/>
      <c r="D69" s="44"/>
      <c r="E69" s="44"/>
      <c r="F69" s="44"/>
      <c r="G69" s="44"/>
      <c r="H69" s="44"/>
      <c r="I69" s="44"/>
    </row>
    <row r="70" spans="1:9" ht="19.5" customHeight="1" x14ac:dyDescent="0.2">
      <c r="A70"/>
      <c r="B70"/>
      <c r="C70" s="44"/>
      <c r="D70" s="44"/>
      <c r="E70" s="44"/>
      <c r="F70" s="44"/>
      <c r="G70" s="44"/>
      <c r="H70" s="44"/>
      <c r="I70" s="44"/>
    </row>
    <row r="71" spans="1:9" ht="19.5" customHeight="1" x14ac:dyDescent="0.2">
      <c r="A71"/>
      <c r="B71"/>
      <c r="C71" s="44"/>
      <c r="D71" s="44"/>
      <c r="E71" s="44"/>
      <c r="F71" s="44"/>
      <c r="G71" s="44"/>
      <c r="H71" s="44"/>
      <c r="I71" s="44"/>
    </row>
    <row r="72" spans="1:9" ht="19.5" customHeight="1" x14ac:dyDescent="0.2">
      <c r="A72"/>
      <c r="B72"/>
      <c r="C72" s="44"/>
      <c r="D72" s="44"/>
      <c r="E72" s="44"/>
      <c r="F72" s="44"/>
      <c r="G72" s="44"/>
      <c r="H72" s="44"/>
      <c r="I72" s="44"/>
    </row>
    <row r="73" spans="1:9" ht="19.5" customHeight="1" x14ac:dyDescent="0.2">
      <c r="A73"/>
      <c r="B73"/>
      <c r="C73" s="44"/>
      <c r="D73" s="44"/>
      <c r="E73" s="44"/>
      <c r="F73" s="44"/>
      <c r="G73" s="44"/>
      <c r="H73" s="44"/>
      <c r="I73" s="44"/>
    </row>
    <row r="74" spans="1:9" ht="19.5" customHeight="1" x14ac:dyDescent="0.2">
      <c r="A74"/>
      <c r="B74"/>
      <c r="C74" s="44"/>
      <c r="D74" s="44"/>
      <c r="E74" s="44"/>
      <c r="F74" s="44"/>
      <c r="G74" s="44"/>
      <c r="H74" s="44"/>
      <c r="I74" s="44"/>
    </row>
    <row r="75" spans="1:9" ht="19.5" customHeight="1" x14ac:dyDescent="0.2">
      <c r="A75"/>
      <c r="B75"/>
      <c r="C75" s="44"/>
      <c r="D75" s="44"/>
      <c r="E75" s="44"/>
      <c r="F75" s="44"/>
      <c r="G75" s="44"/>
      <c r="H75" s="44"/>
      <c r="I75" s="44"/>
    </row>
    <row r="76" spans="1:9" ht="19.5" customHeight="1" x14ac:dyDescent="0.2">
      <c r="A76"/>
      <c r="B76"/>
      <c r="C76" s="44"/>
      <c r="D76" s="44"/>
      <c r="E76" s="44"/>
      <c r="F76" s="44"/>
      <c r="G76" s="44"/>
      <c r="H76" s="44"/>
      <c r="I76" s="44"/>
    </row>
    <row r="77" spans="1:9" ht="19.5" customHeight="1" x14ac:dyDescent="0.2">
      <c r="A77"/>
      <c r="B77"/>
      <c r="C77" s="44"/>
      <c r="D77" s="44"/>
      <c r="E77" s="44"/>
      <c r="F77" s="44"/>
      <c r="G77" s="44"/>
      <c r="H77" s="44"/>
      <c r="I77" s="44"/>
    </row>
    <row r="78" spans="1:9" ht="19.5" customHeight="1" x14ac:dyDescent="0.2">
      <c r="A78"/>
      <c r="B78"/>
      <c r="C78" s="44"/>
      <c r="D78" s="44"/>
      <c r="E78" s="44"/>
      <c r="F78" s="44"/>
      <c r="G78" s="44"/>
      <c r="H78" s="44"/>
      <c r="I78" s="44"/>
    </row>
    <row r="79" spans="1:9" ht="19.5" customHeight="1" x14ac:dyDescent="0.2">
      <c r="A79"/>
      <c r="B79"/>
      <c r="C79" s="44"/>
      <c r="D79" s="44"/>
      <c r="E79" s="44"/>
      <c r="F79" s="44"/>
      <c r="G79" s="44"/>
      <c r="H79" s="44"/>
      <c r="I79" s="44"/>
    </row>
    <row r="80" spans="1:9" x14ac:dyDescent="0.2">
      <c r="A80"/>
      <c r="B80"/>
    </row>
    <row r="81" spans="1:2" x14ac:dyDescent="0.2">
      <c r="A81"/>
      <c r="B81"/>
    </row>
    <row r="82" spans="1:2" x14ac:dyDescent="0.2">
      <c r="A82"/>
      <c r="B82"/>
    </row>
    <row r="83" spans="1:2" x14ac:dyDescent="0.2">
      <c r="A83"/>
      <c r="B83"/>
    </row>
    <row r="84" spans="1:2" x14ac:dyDescent="0.2">
      <c r="A84"/>
      <c r="B84"/>
    </row>
    <row r="85" spans="1:2" x14ac:dyDescent="0.2">
      <c r="A85"/>
      <c r="B85"/>
    </row>
    <row r="86" spans="1:2" x14ac:dyDescent="0.2">
      <c r="A86"/>
      <c r="B86"/>
    </row>
    <row r="87" spans="1:2" x14ac:dyDescent="0.2">
      <c r="A87"/>
      <c r="B87"/>
    </row>
    <row r="88" spans="1:2" x14ac:dyDescent="0.2">
      <c r="A88"/>
      <c r="B88"/>
    </row>
    <row r="89" spans="1:2" x14ac:dyDescent="0.2">
      <c r="A89"/>
      <c r="B89"/>
    </row>
    <row r="90" spans="1:2" x14ac:dyDescent="0.2">
      <c r="A90"/>
      <c r="B90"/>
    </row>
    <row r="91" spans="1:2" x14ac:dyDescent="0.2">
      <c r="A91"/>
      <c r="B91"/>
    </row>
    <row r="92" spans="1:2" x14ac:dyDescent="0.2">
      <c r="A92"/>
      <c r="B92"/>
    </row>
    <row r="93" spans="1:2" x14ac:dyDescent="0.2">
      <c r="A93"/>
      <c r="B93"/>
    </row>
    <row r="94" spans="1:2" x14ac:dyDescent="0.2">
      <c r="A94"/>
      <c r="B94"/>
    </row>
    <row r="95" spans="1:2" x14ac:dyDescent="0.2">
      <c r="A95"/>
      <c r="B95"/>
    </row>
    <row r="96" spans="1:2" x14ac:dyDescent="0.2">
      <c r="A96"/>
      <c r="B96"/>
    </row>
    <row r="97" spans="1:2" x14ac:dyDescent="0.2">
      <c r="A97"/>
      <c r="B97"/>
    </row>
    <row r="98" spans="1:2" x14ac:dyDescent="0.2">
      <c r="A98"/>
      <c r="B98"/>
    </row>
    <row r="99" spans="1:2" x14ac:dyDescent="0.2">
      <c r="A99"/>
      <c r="B99"/>
    </row>
    <row r="100" spans="1:2" x14ac:dyDescent="0.2">
      <c r="A100"/>
      <c r="B100"/>
    </row>
    <row r="101" spans="1:2" x14ac:dyDescent="0.2">
      <c r="A101"/>
      <c r="B101"/>
    </row>
    <row r="102" spans="1:2" x14ac:dyDescent="0.2">
      <c r="A102"/>
      <c r="B102"/>
    </row>
    <row r="103" spans="1:2" x14ac:dyDescent="0.2">
      <c r="A103"/>
      <c r="B103"/>
    </row>
    <row r="104" spans="1:2" x14ac:dyDescent="0.2">
      <c r="A104"/>
      <c r="B104"/>
    </row>
    <row r="105" spans="1:2" x14ac:dyDescent="0.2">
      <c r="A105"/>
      <c r="B105"/>
    </row>
    <row r="106" spans="1:2" x14ac:dyDescent="0.2">
      <c r="A106"/>
      <c r="B106"/>
    </row>
    <row r="107" spans="1:2" x14ac:dyDescent="0.2">
      <c r="A107"/>
      <c r="B107"/>
    </row>
    <row r="108" spans="1:2" x14ac:dyDescent="0.2">
      <c r="A108"/>
      <c r="B108"/>
    </row>
    <row r="109" spans="1:2" x14ac:dyDescent="0.2">
      <c r="A109"/>
      <c r="B109"/>
    </row>
    <row r="110" spans="1:2" x14ac:dyDescent="0.2">
      <c r="A110"/>
      <c r="B110"/>
    </row>
    <row r="111" spans="1:2" x14ac:dyDescent="0.2">
      <c r="A111"/>
      <c r="B111"/>
    </row>
    <row r="112" spans="1:2" x14ac:dyDescent="0.2">
      <c r="A112"/>
      <c r="B112"/>
    </row>
  </sheetData>
  <mergeCells count="12">
    <mergeCell ref="C39:F39"/>
    <mergeCell ref="C41:F41"/>
    <mergeCell ref="C47:G47"/>
    <mergeCell ref="B31:I36"/>
    <mergeCell ref="A28:I28"/>
    <mergeCell ref="I29:K29"/>
    <mergeCell ref="C13:F13"/>
    <mergeCell ref="C15:F15"/>
    <mergeCell ref="C21:G21"/>
    <mergeCell ref="B5:I10"/>
    <mergeCell ref="A2:I2"/>
    <mergeCell ref="I3:K3"/>
  </mergeCells>
  <phoneticPr fontId="3"/>
  <pageMargins left="0.19685039370078741" right="0.19685039370078741" top="0.19685039370078741" bottom="0.19685039370078741" header="0.51181102362204722" footer="0.51181102362204722"/>
  <pageSetup paperSize="9" scale="94" orientation="portrait" horizontalDpi="300" r:id="rId1"/>
  <headerFooter alignWithMargins="0"/>
  <rowBreaks count="1" manualBreakCount="1">
    <brk id="26" max="10" man="1"/>
  </rowBreaks>
  <drawing r:id="rId2"/>
  <legacyDrawing r:id="rId3"/>
  <controls>
    <mc:AlternateContent xmlns:mc="http://schemas.openxmlformats.org/markup-compatibility/2006">
      <mc:Choice Requires="x14">
        <control shapeId="17409" r:id="rId4" name="CommandButton2">
          <controlPr defaultSize="0" autoLine="0" r:id="rId5">
            <anchor moveWithCells="1">
              <from>
                <xdr:col>13</xdr:col>
                <xdr:colOff>213360</xdr:colOff>
                <xdr:row>2</xdr:row>
                <xdr:rowOff>160020</xdr:rowOff>
              </from>
              <to>
                <xdr:col>15</xdr:col>
                <xdr:colOff>38100</xdr:colOff>
                <xdr:row>4</xdr:row>
                <xdr:rowOff>38100</xdr:rowOff>
              </to>
            </anchor>
          </controlPr>
        </control>
      </mc:Choice>
      <mc:Fallback>
        <control shapeId="17409" r:id="rId4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878741-1A3E-46D6-AB84-D885FC8EA124}">
  <sheetPr codeName="Sheet37"/>
  <dimension ref="A1:K76"/>
  <sheetViews>
    <sheetView zoomScale="115" zoomScaleNormal="115" workbookViewId="0">
      <selection activeCell="L8" sqref="L8"/>
    </sheetView>
  </sheetViews>
  <sheetFormatPr defaultRowHeight="20.100000000000001" customHeight="1" x14ac:dyDescent="0.2"/>
  <cols>
    <col min="1" max="1" width="4.88671875" style="94" customWidth="1"/>
    <col min="2" max="2" width="6.44140625" style="94" customWidth="1"/>
    <col min="3" max="3" width="7.88671875" style="94" customWidth="1"/>
    <col min="4" max="4" width="6.33203125" style="94" customWidth="1"/>
    <col min="5" max="5" width="8.33203125" style="94" customWidth="1"/>
    <col min="6" max="6" width="6" style="94" customWidth="1"/>
    <col min="7" max="7" width="3.88671875" style="94" customWidth="1"/>
    <col min="8" max="8" width="4.88671875" style="94" customWidth="1"/>
    <col min="9" max="9" width="8.6640625" style="94" customWidth="1"/>
    <col min="10" max="10" width="17.33203125" style="94" customWidth="1"/>
  </cols>
  <sheetData>
    <row r="1" spans="1:10" ht="50.1" customHeight="1" x14ac:dyDescent="0.2"/>
    <row r="2" spans="1:10" ht="20.100000000000001" customHeight="1" x14ac:dyDescent="0.2">
      <c r="A2" s="78"/>
      <c r="B2" s="78"/>
      <c r="C2" s="78"/>
      <c r="D2" s="78"/>
      <c r="E2" s="78"/>
      <c r="F2" s="78"/>
      <c r="G2" s="79"/>
      <c r="H2" s="80"/>
      <c r="I2" s="78"/>
      <c r="J2" s="78"/>
    </row>
    <row r="3" spans="1:10" ht="20.100000000000001" customHeight="1" x14ac:dyDescent="0.2">
      <c r="A3" s="200" t="s">
        <v>101</v>
      </c>
      <c r="B3" s="200"/>
      <c r="C3" s="200"/>
      <c r="D3" s="200"/>
      <c r="E3" s="200"/>
      <c r="F3" s="200"/>
      <c r="G3" s="200"/>
      <c r="H3" s="200"/>
      <c r="I3" s="200"/>
      <c r="J3" s="200"/>
    </row>
    <row r="4" spans="1:10" ht="20.100000000000001" customHeight="1" x14ac:dyDescent="0.2">
      <c r="A4" s="82"/>
      <c r="B4" s="82"/>
      <c r="C4" s="82"/>
      <c r="D4" s="81"/>
      <c r="E4" s="81"/>
      <c r="F4" s="81"/>
      <c r="G4" s="81"/>
      <c r="H4" s="81"/>
      <c r="I4" s="81"/>
      <c r="J4" s="81"/>
    </row>
    <row r="5" spans="1:10" ht="20.100000000000001" customHeight="1" x14ac:dyDescent="0.2">
      <c r="A5" s="82"/>
      <c r="B5" s="82"/>
      <c r="C5" s="82"/>
      <c r="D5" s="82"/>
      <c r="E5" s="82"/>
      <c r="F5" s="82"/>
      <c r="G5" s="82"/>
      <c r="H5" s="201"/>
      <c r="I5" s="201"/>
      <c r="J5" s="201"/>
    </row>
    <row r="6" spans="1:10" ht="20.100000000000001" customHeight="1" x14ac:dyDescent="0.2">
      <c r="A6" s="197" t="s">
        <v>102</v>
      </c>
      <c r="B6" s="197"/>
      <c r="C6" s="197"/>
      <c r="D6" s="83" t="s">
        <v>103</v>
      </c>
      <c r="E6" s="202">
        <f>共通情報!B27</f>
        <v>0</v>
      </c>
      <c r="F6" s="203"/>
      <c r="G6" s="203"/>
      <c r="H6" s="203"/>
      <c r="I6" s="84"/>
      <c r="J6" s="84"/>
    </row>
    <row r="7" spans="1:10" ht="20.100000000000001" customHeight="1" x14ac:dyDescent="0.2">
      <c r="A7" s="100"/>
      <c r="B7" s="100"/>
      <c r="C7" s="100"/>
      <c r="D7" s="85"/>
      <c r="E7" s="86"/>
      <c r="F7" s="86"/>
      <c r="G7" s="86"/>
      <c r="H7" s="86"/>
      <c r="I7" s="84"/>
      <c r="J7" s="84"/>
    </row>
    <row r="8" spans="1:10" ht="20.100000000000001" customHeight="1" x14ac:dyDescent="0.2">
      <c r="A8" s="78"/>
      <c r="B8" s="78"/>
      <c r="C8" s="78"/>
      <c r="D8" s="87" t="s">
        <v>104</v>
      </c>
      <c r="E8" s="204" t="s">
        <v>142</v>
      </c>
      <c r="F8" s="205"/>
      <c r="G8" s="205"/>
      <c r="H8" s="205"/>
      <c r="I8" s="205"/>
      <c r="J8" s="205"/>
    </row>
    <row r="9" spans="1:10" ht="20.100000000000001" customHeight="1" x14ac:dyDescent="0.2">
      <c r="A9" s="78"/>
      <c r="B9" s="78"/>
      <c r="C9" s="78"/>
      <c r="D9" s="206" t="s">
        <v>105</v>
      </c>
      <c r="E9" s="206"/>
      <c r="F9" s="206"/>
      <c r="G9" s="206"/>
      <c r="H9" s="206"/>
      <c r="I9" s="206"/>
      <c r="J9" s="206"/>
    </row>
    <row r="10" spans="1:10" ht="20.100000000000001" customHeight="1" x14ac:dyDescent="0.2">
      <c r="A10" s="78"/>
      <c r="B10" s="78"/>
      <c r="C10" s="78"/>
      <c r="D10" s="88"/>
      <c r="E10" s="88"/>
      <c r="F10" s="88"/>
      <c r="G10" s="88"/>
      <c r="H10" s="88"/>
      <c r="I10" s="88"/>
      <c r="J10" s="88"/>
    </row>
    <row r="11" spans="1:10" ht="20.100000000000001" customHeight="1" x14ac:dyDescent="0.2">
      <c r="A11" s="78"/>
      <c r="B11" s="78"/>
      <c r="C11" s="78"/>
      <c r="D11" s="88"/>
      <c r="E11" s="88"/>
      <c r="F11" s="88"/>
      <c r="G11" s="88"/>
      <c r="H11" s="88"/>
      <c r="I11" s="88"/>
      <c r="J11" s="88"/>
    </row>
    <row r="12" spans="1:10" ht="20.100000000000001" customHeight="1" x14ac:dyDescent="0.2">
      <c r="A12" s="197" t="s">
        <v>106</v>
      </c>
      <c r="B12" s="197"/>
      <c r="C12" s="197"/>
      <c r="D12" s="198" t="str">
        <f>共通情報!C8</f>
        <v>2014年06月26日</v>
      </c>
      <c r="E12" s="198"/>
      <c r="F12" s="198"/>
      <c r="G12" s="198" t="s">
        <v>143</v>
      </c>
      <c r="H12" s="198"/>
      <c r="I12" s="198"/>
      <c r="J12" s="198"/>
    </row>
    <row r="13" spans="1:10" ht="20.100000000000001" customHeight="1" x14ac:dyDescent="0.2">
      <c r="A13" s="100"/>
      <c r="B13" s="100"/>
      <c r="C13" s="100"/>
      <c r="D13" s="89"/>
      <c r="E13" s="89"/>
      <c r="F13" s="89"/>
      <c r="G13" s="89"/>
      <c r="H13" s="89"/>
      <c r="I13" s="89"/>
      <c r="J13" s="89"/>
    </row>
    <row r="14" spans="1:10" ht="20.100000000000001" customHeight="1" x14ac:dyDescent="0.2">
      <c r="A14" s="78"/>
      <c r="B14" s="78"/>
      <c r="C14" s="78"/>
      <c r="D14" s="78"/>
      <c r="E14" s="78"/>
      <c r="F14" s="78"/>
      <c r="G14" s="78"/>
      <c r="H14" s="78"/>
      <c r="I14" s="78"/>
      <c r="J14" s="78"/>
    </row>
    <row r="15" spans="1:10" ht="20.100000000000001" customHeight="1" x14ac:dyDescent="0.2">
      <c r="A15" s="199" t="s">
        <v>107</v>
      </c>
      <c r="B15" s="197"/>
      <c r="C15" s="197"/>
      <c r="D15" s="90" t="s">
        <v>108</v>
      </c>
      <c r="E15" s="90" t="s">
        <v>109</v>
      </c>
      <c r="F15" s="90"/>
      <c r="G15" s="90"/>
      <c r="H15" s="90"/>
      <c r="I15" s="90"/>
      <c r="J15" s="90"/>
    </row>
    <row r="16" spans="1:10" ht="20.100000000000001" customHeight="1" x14ac:dyDescent="0.2">
      <c r="A16" s="78"/>
      <c r="B16" s="78"/>
      <c r="C16" s="78"/>
      <c r="D16" s="78"/>
      <c r="E16" s="78"/>
      <c r="F16" s="78"/>
      <c r="G16" s="78"/>
      <c r="H16" s="78"/>
      <c r="I16" s="78"/>
      <c r="J16" s="78"/>
    </row>
    <row r="17" spans="1:11" ht="20.100000000000001" customHeight="1" x14ac:dyDescent="0.2">
      <c r="A17" s="78"/>
      <c r="B17" s="78"/>
      <c r="C17" s="78"/>
      <c r="D17" s="90" t="s">
        <v>110</v>
      </c>
      <c r="E17" s="90" t="s">
        <v>111</v>
      </c>
      <c r="F17" s="90"/>
      <c r="G17" s="90"/>
      <c r="H17" s="90"/>
      <c r="I17" s="90"/>
      <c r="J17" s="90"/>
    </row>
    <row r="19" spans="1:11" ht="20.100000000000001" customHeight="1" x14ac:dyDescent="0.2">
      <c r="A19" s="181" t="s">
        <v>112</v>
      </c>
      <c r="B19" s="181"/>
      <c r="C19" s="181"/>
      <c r="D19" s="91" t="s">
        <v>103</v>
      </c>
      <c r="E19" s="194"/>
      <c r="F19" s="194"/>
      <c r="G19" s="194"/>
      <c r="H19" s="194"/>
      <c r="I19" s="91"/>
    </row>
    <row r="20" spans="1:11" ht="20.100000000000001" customHeight="1" x14ac:dyDescent="0.2">
      <c r="K20" s="37"/>
    </row>
    <row r="21" spans="1:11" ht="20.100000000000001" customHeight="1" x14ac:dyDescent="0.2">
      <c r="D21" s="91" t="s">
        <v>104</v>
      </c>
      <c r="E21" s="194"/>
      <c r="F21" s="194"/>
      <c r="G21" s="194"/>
      <c r="H21" s="194"/>
      <c r="I21" s="194"/>
      <c r="J21" s="194"/>
    </row>
    <row r="23" spans="1:11" ht="20.100000000000001" customHeight="1" x14ac:dyDescent="0.2">
      <c r="D23" s="91" t="s">
        <v>113</v>
      </c>
      <c r="E23" s="91"/>
      <c r="F23" s="91"/>
      <c r="G23" s="91"/>
      <c r="H23" s="91"/>
      <c r="I23" s="91"/>
    </row>
    <row r="24" spans="1:11" ht="20.100000000000001" customHeight="1" x14ac:dyDescent="0.2">
      <c r="H24" s="97"/>
      <c r="I24" s="97"/>
      <c r="J24" s="97"/>
    </row>
    <row r="26" spans="1:11" ht="20.100000000000001" customHeight="1" x14ac:dyDescent="0.2">
      <c r="A26" s="181" t="s">
        <v>114</v>
      </c>
      <c r="B26" s="181"/>
      <c r="C26" s="181"/>
      <c r="D26" s="195" t="s">
        <v>115</v>
      </c>
      <c r="E26" s="195"/>
      <c r="F26" s="195"/>
    </row>
    <row r="28" spans="1:11" ht="20.100000000000001" customHeight="1" x14ac:dyDescent="0.2">
      <c r="A28" s="181" t="s">
        <v>116</v>
      </c>
      <c r="B28" s="181"/>
      <c r="C28" s="181"/>
      <c r="D28" s="91" t="s">
        <v>117</v>
      </c>
      <c r="E28" s="91" t="s">
        <v>103</v>
      </c>
      <c r="F28" s="91"/>
      <c r="G28" s="91"/>
      <c r="H28" s="91"/>
      <c r="I28" s="91"/>
      <c r="J28" s="91"/>
    </row>
    <row r="29" spans="1:11" ht="20.100000000000001" customHeight="1" x14ac:dyDescent="0.2">
      <c r="D29" s="96"/>
      <c r="E29" s="96"/>
    </row>
    <row r="30" spans="1:11" ht="20.100000000000001" customHeight="1" x14ac:dyDescent="0.2">
      <c r="E30" s="92" t="s">
        <v>104</v>
      </c>
      <c r="F30" s="90" t="s">
        <v>111</v>
      </c>
      <c r="G30" s="91"/>
      <c r="H30" s="91"/>
      <c r="I30" s="91"/>
      <c r="J30" s="91"/>
    </row>
    <row r="33" spans="1:11" ht="20.100000000000001" customHeight="1" x14ac:dyDescent="0.2">
      <c r="A33" s="181" t="s">
        <v>118</v>
      </c>
      <c r="B33" s="181"/>
      <c r="C33" s="181"/>
      <c r="D33" s="196" t="s">
        <v>119</v>
      </c>
      <c r="E33" s="196"/>
      <c r="F33" s="196"/>
      <c r="G33" s="196"/>
      <c r="H33" s="196"/>
      <c r="I33" s="196"/>
      <c r="J33" s="196"/>
    </row>
    <row r="34" spans="1:11" ht="36" customHeight="1" x14ac:dyDescent="0.2">
      <c r="D34" s="196"/>
      <c r="E34" s="196"/>
      <c r="F34" s="196"/>
      <c r="G34" s="196"/>
      <c r="H34" s="196"/>
      <c r="I34" s="196"/>
      <c r="J34" s="196"/>
    </row>
    <row r="35" spans="1:11" ht="20.100000000000001" customHeight="1" x14ac:dyDescent="0.2">
      <c r="D35" s="93"/>
      <c r="E35" s="93"/>
      <c r="F35" s="93"/>
      <c r="G35" s="93"/>
      <c r="H35" s="93"/>
      <c r="I35" s="93"/>
      <c r="J35" s="93"/>
    </row>
    <row r="36" spans="1:11" ht="20.100000000000001" customHeight="1" x14ac:dyDescent="0.2">
      <c r="A36" s="181" t="s">
        <v>120</v>
      </c>
      <c r="B36" s="181"/>
      <c r="C36" s="181"/>
      <c r="D36" s="190" t="str">
        <f>共通情報!C8</f>
        <v>2014年06月26日</v>
      </c>
      <c r="E36" s="190"/>
      <c r="F36" s="190"/>
    </row>
    <row r="38" spans="1:11" ht="20.100000000000001" customHeight="1" x14ac:dyDescent="0.2">
      <c r="A38" s="181" t="s">
        <v>121</v>
      </c>
      <c r="B38" s="181"/>
      <c r="C38" s="181"/>
      <c r="D38" s="91" t="s">
        <v>103</v>
      </c>
      <c r="E38" s="176">
        <f>共通情報!B27</f>
        <v>0</v>
      </c>
      <c r="F38" s="176"/>
      <c r="G38" s="176"/>
      <c r="H38" s="176"/>
      <c r="I38" s="95" t="s">
        <v>122</v>
      </c>
    </row>
    <row r="39" spans="1:11" ht="20.100000000000001" customHeight="1" x14ac:dyDescent="0.2">
      <c r="E39" s="101"/>
      <c r="F39" s="101"/>
      <c r="G39" s="101"/>
      <c r="H39" s="101"/>
      <c r="I39" s="102"/>
    </row>
    <row r="41" spans="1:11" ht="20.100000000000001" customHeight="1" x14ac:dyDescent="0.2">
      <c r="A41" s="191" t="s">
        <v>123</v>
      </c>
      <c r="B41" s="191"/>
      <c r="C41" s="191"/>
      <c r="D41" s="191"/>
      <c r="E41" s="191"/>
      <c r="F41" s="191"/>
      <c r="G41" s="191"/>
      <c r="H41" s="191"/>
      <c r="I41" s="191"/>
      <c r="J41" s="191"/>
    </row>
    <row r="42" spans="1:11" ht="20.100000000000001" customHeight="1" x14ac:dyDescent="0.2">
      <c r="A42" s="82"/>
      <c r="B42" s="82"/>
      <c r="C42" s="82"/>
      <c r="D42" s="81"/>
      <c r="E42" s="81"/>
      <c r="F42" s="81"/>
      <c r="G42" s="81"/>
      <c r="H42" s="81"/>
      <c r="I42" s="81"/>
      <c r="J42" s="81"/>
    </row>
    <row r="43" spans="1:11" ht="20.100000000000001" customHeight="1" x14ac:dyDescent="0.2">
      <c r="A43" s="82"/>
      <c r="B43" s="82"/>
      <c r="C43" s="82"/>
      <c r="D43" s="81"/>
      <c r="E43" s="81"/>
      <c r="F43" s="192" t="s">
        <v>124</v>
      </c>
      <c r="G43" s="192"/>
      <c r="H43" s="193"/>
      <c r="I43" s="193"/>
      <c r="J43" s="193"/>
    </row>
    <row r="45" spans="1:11" ht="20.100000000000001" customHeight="1" x14ac:dyDescent="0.2">
      <c r="A45" s="182" t="s">
        <v>125</v>
      </c>
      <c r="B45" s="182"/>
      <c r="C45" s="182"/>
      <c r="D45" s="172" t="str">
        <f>"　"&amp;共通情報!D3&amp;"　様"</f>
        <v>　ざく　ざく情報室以外使用禁止　様</v>
      </c>
      <c r="E45" s="173"/>
      <c r="F45" s="173"/>
      <c r="G45" s="173"/>
      <c r="H45" s="174"/>
      <c r="I45" s="98" t="s">
        <v>144</v>
      </c>
      <c r="J45" s="98" t="str">
        <f>共通情報!G3</f>
        <v>男</v>
      </c>
    </row>
    <row r="46" spans="1:11" ht="30" customHeight="1" x14ac:dyDescent="0.2">
      <c r="A46" s="182" t="s">
        <v>104</v>
      </c>
      <c r="B46" s="182"/>
      <c r="C46" s="182"/>
      <c r="D46" s="178"/>
      <c r="E46" s="179"/>
      <c r="F46" s="179"/>
      <c r="G46" s="179"/>
      <c r="H46" s="179"/>
      <c r="I46" s="179"/>
      <c r="J46" s="180"/>
    </row>
    <row r="47" spans="1:11" ht="22.5" customHeight="1" x14ac:dyDescent="0.2">
      <c r="A47" s="182" t="s">
        <v>126</v>
      </c>
      <c r="B47" s="182"/>
      <c r="C47" s="182"/>
      <c r="D47" s="178" t="s">
        <v>149</v>
      </c>
      <c r="E47" s="179"/>
      <c r="F47" s="179"/>
      <c r="G47" s="179"/>
      <c r="H47" s="179"/>
      <c r="I47" s="179"/>
      <c r="J47" s="180"/>
    </row>
    <row r="48" spans="1:11" ht="20.100000000000001" customHeight="1" x14ac:dyDescent="0.2">
      <c r="A48" s="184" t="s">
        <v>127</v>
      </c>
      <c r="B48" s="184"/>
      <c r="C48" s="184"/>
      <c r="D48" s="172" t="s">
        <v>128</v>
      </c>
      <c r="E48" s="173"/>
      <c r="F48" s="173"/>
      <c r="G48" s="173"/>
      <c r="H48" s="173"/>
      <c r="I48" s="173"/>
      <c r="J48" s="174"/>
      <c r="K48" s="37"/>
    </row>
    <row r="49" spans="1:10" ht="20.100000000000001" customHeight="1" x14ac:dyDescent="0.2">
      <c r="A49" s="185" t="s">
        <v>129</v>
      </c>
      <c r="B49" s="186"/>
      <c r="C49" s="187"/>
      <c r="D49" s="178" t="s">
        <v>145</v>
      </c>
      <c r="E49" s="179"/>
      <c r="F49" s="179"/>
      <c r="G49" s="179"/>
      <c r="H49" s="179"/>
      <c r="I49" s="179"/>
      <c r="J49" s="180"/>
    </row>
    <row r="50" spans="1:10" ht="20.100000000000001" customHeight="1" x14ac:dyDescent="0.2">
      <c r="A50" s="188"/>
      <c r="B50" s="175"/>
      <c r="C50" s="189"/>
      <c r="D50" s="178" t="s">
        <v>146</v>
      </c>
      <c r="E50" s="179"/>
      <c r="F50" s="179"/>
      <c r="G50" s="179"/>
      <c r="H50" s="179"/>
      <c r="I50" s="179"/>
      <c r="J50" s="180"/>
    </row>
    <row r="51" spans="1:10" ht="20.100000000000001" customHeight="1" x14ac:dyDescent="0.2">
      <c r="A51" s="182" t="s">
        <v>130</v>
      </c>
      <c r="B51" s="182"/>
      <c r="C51" s="182"/>
      <c r="D51" s="172" t="s">
        <v>131</v>
      </c>
      <c r="E51" s="173"/>
      <c r="F51" s="173"/>
      <c r="G51" s="173"/>
      <c r="H51" s="173"/>
      <c r="I51" s="173"/>
      <c r="J51" s="174"/>
    </row>
    <row r="52" spans="1:10" ht="20.100000000000001" customHeight="1" x14ac:dyDescent="0.2">
      <c r="A52" s="182" t="s">
        <v>110</v>
      </c>
      <c r="B52" s="182"/>
      <c r="C52" s="182"/>
      <c r="D52" s="172" t="s">
        <v>132</v>
      </c>
      <c r="E52" s="173"/>
      <c r="F52" s="173"/>
      <c r="G52" s="173"/>
      <c r="H52" s="173"/>
      <c r="I52" s="173"/>
      <c r="J52" s="174"/>
    </row>
    <row r="53" spans="1:10" ht="20.100000000000001" customHeight="1" x14ac:dyDescent="0.2">
      <c r="A53" s="182" t="s">
        <v>152</v>
      </c>
      <c r="B53" s="182"/>
      <c r="C53" s="182"/>
      <c r="D53" s="172" t="s">
        <v>153</v>
      </c>
      <c r="E53" s="173"/>
      <c r="F53" s="173"/>
      <c r="G53" s="173"/>
      <c r="H53" s="173"/>
      <c r="I53" s="173"/>
      <c r="J53" s="174"/>
    </row>
    <row r="54" spans="1:10" ht="20.100000000000001" customHeight="1" x14ac:dyDescent="0.2">
      <c r="A54" s="182" t="s">
        <v>133</v>
      </c>
      <c r="B54" s="182"/>
      <c r="C54" s="182"/>
      <c r="D54" s="172" t="s">
        <v>134</v>
      </c>
      <c r="E54" s="173"/>
      <c r="F54" s="173"/>
      <c r="G54" s="173"/>
      <c r="H54" s="173"/>
      <c r="I54" s="173"/>
      <c r="J54" s="174"/>
    </row>
    <row r="55" spans="1:10" ht="30" customHeight="1" x14ac:dyDescent="0.2">
      <c r="A55" s="183" t="s">
        <v>135</v>
      </c>
      <c r="B55" s="183"/>
      <c r="C55" s="183"/>
      <c r="D55" s="172" t="s">
        <v>151</v>
      </c>
      <c r="E55" s="173"/>
      <c r="F55" s="173"/>
      <c r="G55" s="173"/>
      <c r="H55" s="173"/>
      <c r="I55" s="173"/>
      <c r="J55" s="174"/>
    </row>
    <row r="57" spans="1:10" ht="20.100000000000001" customHeight="1" x14ac:dyDescent="0.2">
      <c r="A57" s="181" t="s">
        <v>136</v>
      </c>
      <c r="B57" s="181"/>
      <c r="C57" s="181"/>
      <c r="D57" s="94" t="s">
        <v>137</v>
      </c>
    </row>
    <row r="60" spans="1:10" ht="20.100000000000001" customHeight="1" x14ac:dyDescent="0.2">
      <c r="A60" s="181" t="s">
        <v>138</v>
      </c>
      <c r="B60" s="181"/>
      <c r="C60" s="181"/>
      <c r="D60" s="181"/>
      <c r="E60" s="181"/>
      <c r="F60" s="181"/>
      <c r="G60" s="181"/>
      <c r="H60" s="181"/>
      <c r="I60" s="181"/>
      <c r="J60" s="181"/>
    </row>
    <row r="63" spans="1:10" ht="20.100000000000001" customHeight="1" x14ac:dyDescent="0.2">
      <c r="A63" s="94" t="s">
        <v>139</v>
      </c>
      <c r="C63" s="91" t="s">
        <v>103</v>
      </c>
      <c r="D63" s="91"/>
      <c r="E63" s="91"/>
      <c r="F63" s="91"/>
      <c r="G63" s="91"/>
      <c r="H63" s="91"/>
    </row>
    <row r="65" spans="1:10" ht="20.100000000000001" customHeight="1" x14ac:dyDescent="0.2">
      <c r="C65" s="91" t="s">
        <v>104</v>
      </c>
      <c r="D65" s="91"/>
      <c r="E65" s="91"/>
      <c r="F65" s="91"/>
      <c r="G65" s="91"/>
      <c r="H65" s="91"/>
      <c r="I65" s="91"/>
      <c r="J65" s="91"/>
    </row>
    <row r="67" spans="1:10" ht="20.100000000000001" customHeight="1" x14ac:dyDescent="0.2">
      <c r="C67" s="91" t="s">
        <v>140</v>
      </c>
      <c r="D67" s="91"/>
      <c r="E67" s="91"/>
    </row>
    <row r="69" spans="1:10" ht="20.100000000000001" customHeight="1" x14ac:dyDescent="0.2">
      <c r="A69" s="94" t="s">
        <v>147</v>
      </c>
    </row>
    <row r="71" spans="1:10" ht="20.100000000000001" customHeight="1" x14ac:dyDescent="0.2">
      <c r="A71" s="94" t="s">
        <v>148</v>
      </c>
    </row>
    <row r="74" spans="1:10" ht="20.100000000000001" customHeight="1" x14ac:dyDescent="0.2">
      <c r="A74" s="181" t="s">
        <v>120</v>
      </c>
      <c r="B74" s="181"/>
      <c r="C74" s="181"/>
      <c r="D74" s="175" t="s">
        <v>150</v>
      </c>
      <c r="E74" s="175"/>
      <c r="F74" s="175"/>
      <c r="G74" s="175"/>
      <c r="H74" s="175"/>
    </row>
    <row r="76" spans="1:10" ht="20.100000000000001" customHeight="1" x14ac:dyDescent="0.2">
      <c r="A76" s="94" t="s">
        <v>141</v>
      </c>
      <c r="D76" s="99" t="s">
        <v>103</v>
      </c>
      <c r="E76" s="176">
        <f>共通情報!B27</f>
        <v>0</v>
      </c>
      <c r="F76" s="177"/>
      <c r="G76" s="177"/>
      <c r="H76" s="177"/>
      <c r="I76" s="95" t="s">
        <v>122</v>
      </c>
    </row>
  </sheetData>
  <mergeCells count="51">
    <mergeCell ref="D9:J9"/>
    <mergeCell ref="A3:J3"/>
    <mergeCell ref="H5:J5"/>
    <mergeCell ref="A6:C6"/>
    <mergeCell ref="E6:H6"/>
    <mergeCell ref="E8:J8"/>
    <mergeCell ref="A12:C12"/>
    <mergeCell ref="D12:F12"/>
    <mergeCell ref="G12:J12"/>
    <mergeCell ref="A15:C15"/>
    <mergeCell ref="A19:C19"/>
    <mergeCell ref="E19:H19"/>
    <mergeCell ref="E21:J21"/>
    <mergeCell ref="A26:C26"/>
    <mergeCell ref="D26:F26"/>
    <mergeCell ref="A28:C28"/>
    <mergeCell ref="A33:C33"/>
    <mergeCell ref="D33:J34"/>
    <mergeCell ref="A36:C36"/>
    <mergeCell ref="D36:F36"/>
    <mergeCell ref="A38:C38"/>
    <mergeCell ref="A41:J41"/>
    <mergeCell ref="F43:G43"/>
    <mergeCell ref="H43:J43"/>
    <mergeCell ref="E38:H38"/>
    <mergeCell ref="A48:C48"/>
    <mergeCell ref="A49:C50"/>
    <mergeCell ref="A51:C51"/>
    <mergeCell ref="A45:C45"/>
    <mergeCell ref="A46:C46"/>
    <mergeCell ref="A47:C47"/>
    <mergeCell ref="A57:C57"/>
    <mergeCell ref="A60:J60"/>
    <mergeCell ref="A74:C74"/>
    <mergeCell ref="A52:C52"/>
    <mergeCell ref="A54:C54"/>
    <mergeCell ref="A55:C55"/>
    <mergeCell ref="A53:C53"/>
    <mergeCell ref="E76:H76"/>
    <mergeCell ref="D53:J53"/>
    <mergeCell ref="D45:H45"/>
    <mergeCell ref="D46:J46"/>
    <mergeCell ref="D47:J47"/>
    <mergeCell ref="D48:J48"/>
    <mergeCell ref="D49:J49"/>
    <mergeCell ref="D50:J50"/>
    <mergeCell ref="D51:J51"/>
    <mergeCell ref="D52:J52"/>
    <mergeCell ref="D54:J54"/>
    <mergeCell ref="D55:J55"/>
    <mergeCell ref="D74:H74"/>
  </mergeCells>
  <phoneticPr fontId="3"/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portrait" horizontalDpi="300" r:id="rId1"/>
  <headerFooter alignWithMargins="0"/>
  <rowBreaks count="1" manualBreakCount="1">
    <brk id="39" max="10" man="1"/>
  </rowBreaks>
  <drawing r:id="rId2"/>
  <legacyDrawing r:id="rId3"/>
  <controls>
    <mc:AlternateContent xmlns:mc="http://schemas.openxmlformats.org/markup-compatibility/2006">
      <mc:Choice Requires="x14">
        <control shapeId="16385" r:id="rId4" name="CommandButton2">
          <controlPr defaultSize="0" autoLine="0" r:id="rId5">
            <anchor moveWithCells="1">
              <from>
                <xdr:col>11</xdr:col>
                <xdr:colOff>15240</xdr:colOff>
                <xdr:row>5</xdr:row>
                <xdr:rowOff>7620</xdr:rowOff>
              </from>
              <to>
                <xdr:col>12</xdr:col>
                <xdr:colOff>449580</xdr:colOff>
                <xdr:row>6</xdr:row>
                <xdr:rowOff>114300</xdr:rowOff>
              </to>
            </anchor>
          </controlPr>
        </control>
      </mc:Choice>
      <mc:Fallback>
        <control shapeId="16385" r:id="rId4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3DDC6-2358-4F22-9E7C-F0FC99857BC4}">
  <sheetPr codeName="Sheet1"/>
  <dimension ref="A1:J36"/>
  <sheetViews>
    <sheetView topLeftCell="A11" workbookViewId="0">
      <selection activeCell="D28" sqref="D28"/>
    </sheetView>
  </sheetViews>
  <sheetFormatPr defaultColWidth="9" defaultRowHeight="13.2" x14ac:dyDescent="0.2"/>
  <cols>
    <col min="1" max="1" width="13.109375" style="1" customWidth="1"/>
    <col min="2" max="2" width="24.6640625" style="2" customWidth="1"/>
    <col min="3" max="3" width="17.77734375" style="1" customWidth="1"/>
    <col min="4" max="4" width="11.44140625" style="1" customWidth="1"/>
    <col min="5" max="5" width="18" style="1" customWidth="1"/>
    <col min="6" max="6" width="13.88671875" style="1" customWidth="1"/>
    <col min="7" max="7" width="18.6640625" style="1" customWidth="1"/>
    <col min="8" max="8" width="39.44140625" style="1" customWidth="1"/>
    <col min="9" max="9" width="9" style="1"/>
    <col min="10" max="10" width="14.33203125" style="1" customWidth="1"/>
    <col min="11" max="16384" width="9" style="1"/>
  </cols>
  <sheetData>
    <row r="1" spans="1:10" x14ac:dyDescent="0.2">
      <c r="A1" s="1" t="s">
        <v>0</v>
      </c>
    </row>
    <row r="3" spans="1:10" ht="39.6" x14ac:dyDescent="0.2">
      <c r="A3" s="3" t="s">
        <v>1</v>
      </c>
      <c r="B3" s="4" t="s">
        <v>85</v>
      </c>
      <c r="C3" s="5" t="s">
        <v>86</v>
      </c>
      <c r="D3" s="5" t="s">
        <v>87</v>
      </c>
      <c r="E3" s="6">
        <v>28727</v>
      </c>
      <c r="F3" s="5">
        <v>35</v>
      </c>
      <c r="G3" s="5" t="s">
        <v>88</v>
      </c>
      <c r="H3" s="7"/>
      <c r="I3" s="8"/>
      <c r="J3" s="9"/>
    </row>
    <row r="4" spans="1:10" x14ac:dyDescent="0.2">
      <c r="A4" s="10" t="s">
        <v>2</v>
      </c>
      <c r="B4" s="11" t="s">
        <v>65</v>
      </c>
      <c r="C4" s="11" t="s">
        <v>3</v>
      </c>
      <c r="D4" s="12" t="s">
        <v>4</v>
      </c>
      <c r="E4" s="13"/>
      <c r="F4" s="14"/>
      <c r="G4" s="14"/>
      <c r="H4" s="15"/>
      <c r="I4" s="13"/>
      <c r="J4" s="16"/>
    </row>
    <row r="5" spans="1:10" x14ac:dyDescent="0.2">
      <c r="A5" s="10" t="s">
        <v>5</v>
      </c>
      <c r="B5" s="11" t="s">
        <v>89</v>
      </c>
      <c r="C5" s="14" t="s">
        <v>90</v>
      </c>
      <c r="D5" s="17" t="s">
        <v>6</v>
      </c>
      <c r="E5" s="14">
        <v>7</v>
      </c>
      <c r="F5" s="13" t="s">
        <v>7</v>
      </c>
      <c r="G5" s="14"/>
      <c r="H5" s="15"/>
      <c r="I5" s="13"/>
      <c r="J5" s="16"/>
    </row>
    <row r="6" spans="1:10" x14ac:dyDescent="0.2">
      <c r="A6" s="10" t="s">
        <v>8</v>
      </c>
      <c r="B6" s="11" t="s">
        <v>9</v>
      </c>
      <c r="C6" s="14"/>
      <c r="D6" s="12" t="s">
        <v>10</v>
      </c>
      <c r="E6" s="14">
        <v>0</v>
      </c>
      <c r="F6" s="14"/>
      <c r="G6" s="12" t="s">
        <v>6</v>
      </c>
      <c r="H6" s="15"/>
      <c r="I6" s="18" t="s">
        <v>11</v>
      </c>
      <c r="J6" s="16"/>
    </row>
    <row r="7" spans="1:10" x14ac:dyDescent="0.2">
      <c r="A7" s="10" t="s">
        <v>12</v>
      </c>
      <c r="B7" s="11" t="s">
        <v>91</v>
      </c>
      <c r="C7" s="14" t="s">
        <v>92</v>
      </c>
      <c r="D7" s="12" t="s">
        <v>13</v>
      </c>
      <c r="E7" s="19"/>
      <c r="F7" s="14"/>
      <c r="G7" s="12" t="s">
        <v>14</v>
      </c>
      <c r="H7" s="15" t="s">
        <v>15</v>
      </c>
      <c r="I7" s="13"/>
      <c r="J7" s="16"/>
    </row>
    <row r="8" spans="1:10" x14ac:dyDescent="0.2">
      <c r="A8" s="10" t="s">
        <v>16</v>
      </c>
      <c r="B8" s="11" t="s">
        <v>93</v>
      </c>
      <c r="C8" s="14" t="str">
        <f>MID(B8, 1, 4) &amp; "年" &amp; MID(B8, 5, 2) &amp; "月" &amp; MID(B8, 7, 2)&amp;"日"</f>
        <v>2014年06月26日</v>
      </c>
      <c r="D8" s="12" t="s">
        <v>17</v>
      </c>
      <c r="E8" s="14"/>
      <c r="F8" s="14"/>
      <c r="G8" s="14"/>
      <c r="H8" s="15"/>
      <c r="I8" s="13"/>
      <c r="J8" s="16"/>
    </row>
    <row r="9" spans="1:10" x14ac:dyDescent="0.2">
      <c r="A9" s="10" t="s">
        <v>18</v>
      </c>
      <c r="B9" s="11" t="s">
        <v>94</v>
      </c>
      <c r="C9" s="14"/>
      <c r="D9" s="14"/>
      <c r="E9" s="14"/>
      <c r="F9" s="14"/>
      <c r="G9" s="14"/>
      <c r="H9" s="15"/>
      <c r="I9" s="13"/>
      <c r="J9" s="16"/>
    </row>
    <row r="10" spans="1:10" x14ac:dyDescent="0.2">
      <c r="A10" s="10" t="s">
        <v>19</v>
      </c>
      <c r="B10" s="11" t="s">
        <v>54</v>
      </c>
      <c r="C10" s="14"/>
      <c r="D10" s="14"/>
      <c r="E10" s="14"/>
      <c r="F10" s="14"/>
      <c r="G10" s="14"/>
      <c r="H10" s="15"/>
      <c r="I10" s="13"/>
      <c r="J10" s="16"/>
    </row>
    <row r="11" spans="1:10" x14ac:dyDescent="0.2">
      <c r="A11" s="10" t="s">
        <v>20</v>
      </c>
      <c r="B11" s="20" t="s">
        <v>95</v>
      </c>
      <c r="C11" s="14"/>
      <c r="D11" s="14"/>
      <c r="E11" s="14"/>
      <c r="F11" s="14"/>
      <c r="H11" s="15"/>
      <c r="I11" s="13"/>
      <c r="J11" s="16"/>
    </row>
    <row r="12" spans="1:10" x14ac:dyDescent="0.2">
      <c r="A12" s="10" t="s">
        <v>55</v>
      </c>
      <c r="B12" s="11" t="s">
        <v>56</v>
      </c>
      <c r="C12" s="14"/>
      <c r="D12" s="12" t="s">
        <v>21</v>
      </c>
      <c r="E12" s="14">
        <v>1</v>
      </c>
      <c r="F12" s="14"/>
      <c r="G12" s="12" t="s">
        <v>22</v>
      </c>
      <c r="H12" s="15">
        <v>0</v>
      </c>
      <c r="I12" s="13"/>
      <c r="J12" s="16"/>
    </row>
    <row r="13" spans="1:10" x14ac:dyDescent="0.2">
      <c r="A13" s="10" t="s">
        <v>57</v>
      </c>
      <c r="B13" s="11"/>
      <c r="C13" s="14"/>
      <c r="D13" s="12" t="s">
        <v>23</v>
      </c>
      <c r="E13" s="14">
        <v>0</v>
      </c>
      <c r="F13" s="14"/>
      <c r="G13" s="14"/>
      <c r="H13" s="15"/>
      <c r="I13" s="13"/>
      <c r="J13" s="16"/>
    </row>
    <row r="14" spans="1:10" x14ac:dyDescent="0.2">
      <c r="A14" s="10" t="s">
        <v>24</v>
      </c>
      <c r="B14" s="11" t="s">
        <v>25</v>
      </c>
      <c r="C14" s="14"/>
      <c r="D14" s="12" t="s">
        <v>26</v>
      </c>
      <c r="E14" s="14">
        <v>0</v>
      </c>
      <c r="F14" s="14"/>
      <c r="G14" s="14"/>
      <c r="H14" s="15"/>
      <c r="I14" s="13"/>
      <c r="J14" s="16"/>
    </row>
    <row r="15" spans="1:10" x14ac:dyDescent="0.2">
      <c r="A15" s="10" t="s">
        <v>58</v>
      </c>
      <c r="B15" s="21" t="s">
        <v>59</v>
      </c>
      <c r="C15" s="14"/>
      <c r="D15" s="14"/>
      <c r="E15" s="14"/>
      <c r="F15" s="14"/>
      <c r="G15" s="14"/>
      <c r="H15" s="15"/>
      <c r="I15" s="13"/>
      <c r="J15" s="16"/>
    </row>
    <row r="16" spans="1:10" x14ac:dyDescent="0.2">
      <c r="A16" s="22" t="s">
        <v>60</v>
      </c>
      <c r="B16" s="23" t="s">
        <v>61</v>
      </c>
      <c r="C16" s="23" t="s">
        <v>61</v>
      </c>
      <c r="D16" s="24"/>
      <c r="E16" s="24"/>
      <c r="F16" s="24"/>
      <c r="G16" s="24"/>
      <c r="H16" s="25"/>
      <c r="I16" s="13"/>
      <c r="J16" s="16"/>
    </row>
    <row r="17" spans="1:10" x14ac:dyDescent="0.2">
      <c r="A17" s="26" t="s">
        <v>27</v>
      </c>
      <c r="B17" s="27" t="s">
        <v>28</v>
      </c>
      <c r="C17" s="28"/>
      <c r="D17" s="29" t="s">
        <v>29</v>
      </c>
      <c r="E17" s="28">
        <v>280</v>
      </c>
      <c r="F17" s="28">
        <v>30</v>
      </c>
      <c r="G17" s="28">
        <v>50</v>
      </c>
      <c r="H17" s="30">
        <v>0</v>
      </c>
      <c r="I17" s="28"/>
      <c r="J17" s="31"/>
    </row>
    <row r="19" spans="1:10" x14ac:dyDescent="0.2">
      <c r="A19" s="1" t="s">
        <v>30</v>
      </c>
    </row>
    <row r="21" spans="1:10" x14ac:dyDescent="0.2">
      <c r="A21" s="32" t="s">
        <v>31</v>
      </c>
      <c r="B21" s="33" t="s">
        <v>96</v>
      </c>
      <c r="C21" s="8"/>
      <c r="D21" s="34" t="s">
        <v>32</v>
      </c>
      <c r="E21" s="8" t="s">
        <v>33</v>
      </c>
      <c r="F21" s="8"/>
      <c r="G21" s="8"/>
      <c r="H21" s="8"/>
      <c r="I21" s="8"/>
      <c r="J21" s="9"/>
    </row>
    <row r="22" spans="1:10" x14ac:dyDescent="0.2">
      <c r="A22" s="35" t="s">
        <v>34</v>
      </c>
      <c r="B22" s="20" t="s">
        <v>62</v>
      </c>
      <c r="C22" s="13" t="s">
        <v>35</v>
      </c>
      <c r="D22" s="13"/>
      <c r="E22" s="13"/>
      <c r="F22" s="13"/>
      <c r="G22" s="13"/>
      <c r="H22" s="13"/>
      <c r="I22" s="13"/>
      <c r="J22" s="16"/>
    </row>
    <row r="23" spans="1:10" x14ac:dyDescent="0.2">
      <c r="A23" s="35" t="s">
        <v>36</v>
      </c>
      <c r="B23" s="20" t="s">
        <v>97</v>
      </c>
      <c r="C23" s="13"/>
      <c r="D23" s="13"/>
      <c r="E23" s="13"/>
      <c r="F23" s="13"/>
      <c r="G23" s="13"/>
      <c r="H23" s="13"/>
      <c r="I23" s="13"/>
      <c r="J23" s="16"/>
    </row>
    <row r="24" spans="1:10" x14ac:dyDescent="0.2">
      <c r="A24" s="26" t="s">
        <v>63</v>
      </c>
      <c r="B24" s="36"/>
      <c r="C24" s="28"/>
      <c r="D24" s="29" t="s">
        <v>29</v>
      </c>
      <c r="E24" s="28">
        <v>200</v>
      </c>
      <c r="F24" s="28">
        <v>30</v>
      </c>
      <c r="G24" s="28">
        <v>900</v>
      </c>
      <c r="H24" s="28">
        <v>5</v>
      </c>
      <c r="I24" s="28"/>
      <c r="J24" s="31"/>
    </row>
    <row r="26" spans="1:10" x14ac:dyDescent="0.2">
      <c r="A26" s="1" t="s">
        <v>37</v>
      </c>
    </row>
    <row r="27" spans="1:10" x14ac:dyDescent="0.2">
      <c r="A27" s="32" t="s">
        <v>48</v>
      </c>
      <c r="B27" s="33"/>
      <c r="C27" s="8"/>
      <c r="D27" s="8"/>
      <c r="E27" s="103"/>
      <c r="F27" s="107" t="s">
        <v>155</v>
      </c>
      <c r="G27" s="108"/>
      <c r="H27" s="1" t="str">
        <f>TEXT(G27,"手術日　　　　　yyyy年mm月dd日")</f>
        <v>手術日     1900年01月00日</v>
      </c>
    </row>
    <row r="28" spans="1:10" x14ac:dyDescent="0.2">
      <c r="A28" s="53" t="s">
        <v>38</v>
      </c>
      <c r="B28" s="54"/>
      <c r="C28" s="55" t="s">
        <v>39</v>
      </c>
      <c r="D28" s="56"/>
      <c r="E28" s="104"/>
      <c r="F28" s="106"/>
      <c r="H28" s="109" t="s">
        <v>156</v>
      </c>
    </row>
    <row r="29" spans="1:10" x14ac:dyDescent="0.2">
      <c r="A29" s="35" t="s">
        <v>41</v>
      </c>
      <c r="B29" s="20"/>
      <c r="C29" s="13"/>
      <c r="D29" s="13"/>
      <c r="E29" s="105"/>
      <c r="F29" s="106"/>
    </row>
    <row r="30" spans="1:10" x14ac:dyDescent="0.2">
      <c r="A30" s="35" t="s">
        <v>66</v>
      </c>
      <c r="B30" s="20"/>
      <c r="C30" s="13"/>
      <c r="D30" s="13"/>
      <c r="E30" s="105"/>
      <c r="F30" s="106"/>
    </row>
    <row r="31" spans="1:10" x14ac:dyDescent="0.2">
      <c r="A31" s="35" t="s">
        <v>42</v>
      </c>
      <c r="B31" s="20"/>
      <c r="C31" s="13"/>
      <c r="D31" s="13"/>
      <c r="E31" s="105"/>
      <c r="F31" s="106"/>
    </row>
    <row r="32" spans="1:10" x14ac:dyDescent="0.2">
      <c r="A32" s="35" t="s">
        <v>43</v>
      </c>
      <c r="B32" s="20"/>
      <c r="C32" s="13"/>
      <c r="D32" s="13"/>
      <c r="E32" s="105"/>
      <c r="F32" s="106"/>
    </row>
    <row r="33" spans="1:6" x14ac:dyDescent="0.2">
      <c r="A33" s="35" t="s">
        <v>44</v>
      </c>
      <c r="B33" s="20"/>
      <c r="C33" s="13"/>
      <c r="D33" s="13"/>
      <c r="E33" s="105"/>
      <c r="F33" s="106"/>
    </row>
    <row r="34" spans="1:6" x14ac:dyDescent="0.2">
      <c r="A34" s="35" t="s">
        <v>45</v>
      </c>
      <c r="B34" s="20"/>
      <c r="C34" s="13"/>
      <c r="D34" s="13"/>
      <c r="E34" s="105"/>
      <c r="F34" s="106"/>
    </row>
    <row r="35" spans="1:6" x14ac:dyDescent="0.2">
      <c r="A35" s="26" t="s">
        <v>46</v>
      </c>
      <c r="B35" s="36"/>
      <c r="C35" s="28"/>
      <c r="D35" s="28"/>
      <c r="E35" s="30"/>
      <c r="F35" s="106"/>
    </row>
    <row r="36" spans="1:6" x14ac:dyDescent="0.2">
      <c r="A36" s="110" t="s">
        <v>157</v>
      </c>
      <c r="B36" s="111" t="s">
        <v>158</v>
      </c>
    </row>
  </sheetData>
  <phoneticPr fontId="3"/>
  <hyperlinks>
    <hyperlink ref="C16" r:id="rId1" xr:uid="{3A646523-4EF9-46C3-8286-74E8E3709D09}"/>
    <hyperlink ref="B16" r:id="rId2" xr:uid="{6FEF6ECF-E7A6-431D-8C88-5ADD9D5230DD}"/>
  </hyperlinks>
  <pageMargins left="0.75" right="0.75" top="1" bottom="1" header="0.51200000000000001" footer="0.51200000000000001"/>
  <pageSetup paperSize="9" orientation="portrait" verticalDpi="400" r:id="rId3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9</vt:i4>
      </vt:variant>
      <vt:variant>
        <vt:lpstr>名前付き一覧</vt:lpstr>
      </vt:variant>
      <vt:variant>
        <vt:i4>8</vt:i4>
      </vt:variant>
    </vt:vector>
  </HeadingPairs>
  <TitlesOfParts>
    <vt:vector size="17" baseType="lpstr">
      <vt:lpstr>通常</vt:lpstr>
      <vt:lpstr>入院</vt:lpstr>
      <vt:lpstr>日帰り</vt:lpstr>
      <vt:lpstr>短期滞在</vt:lpstr>
      <vt:lpstr>検査同意書</vt:lpstr>
      <vt:lpstr>注射</vt:lpstr>
      <vt:lpstr>指導料</vt:lpstr>
      <vt:lpstr>強膜パッチ</vt:lpstr>
      <vt:lpstr>共通情報</vt:lpstr>
      <vt:lpstr>強膜パッチ!Print_Area</vt:lpstr>
      <vt:lpstr>検査同意書!Print_Area</vt:lpstr>
      <vt:lpstr>指導料!Print_Area</vt:lpstr>
      <vt:lpstr>短期滞在!Print_Area</vt:lpstr>
      <vt:lpstr>注射!Print_Area</vt:lpstr>
      <vt:lpstr>通常!Print_Area</vt:lpstr>
      <vt:lpstr>日帰り!Print_Area</vt:lpstr>
      <vt:lpstr>入院!Print_Area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 </dc:creator>
  <cp:lastModifiedBy>康宏 岡本</cp:lastModifiedBy>
  <cp:lastPrinted>2026-06-08T07:43:52Z</cp:lastPrinted>
  <dcterms:created xsi:type="dcterms:W3CDTF">2007-04-23T11:44:46Z</dcterms:created>
  <dcterms:modified xsi:type="dcterms:W3CDTF">2026-06-21T09:11:42Z</dcterms:modified>
</cp:coreProperties>
</file>